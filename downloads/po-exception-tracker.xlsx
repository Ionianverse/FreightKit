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090ff8700d45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50cf563f2d14870"/>
    <x:sheet xmlns:r="http://schemas.openxmlformats.org/officeDocument/2006/relationships" name="PO tracker" sheetId="2" r:id="R969f04bec4684fd8"/>
    <x:sheet xmlns:r="http://schemas.openxmlformats.org/officeDocument/2006/relationships" name="Read me" sheetId="3" r:id="R7bc2eddb71d64b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7">
    <x:font>
      <x:sz val="11"/>
      <x:name val="Carlito"/>
    </x:font>
    <x:font>
      <x:sz val="10"/>
      <x:color rgb="FF1F2937"/>
      <x:name val="Arial"/>
    </x:font>
    <x:font>
      <x:b/>
      <x:sz val="15"/>
      <x:color rgb="FF153A5B"/>
      <x:name val="Arial"/>
    </x:font>
    <x:font>
      <x:b/>
      <x:sz val="10"/>
      <x:color rgb="FF153A5B"/>
      <x:name val="Arial"/>
    </x:font>
    <x:font>
      <x:i/>
      <x:sz val="9"/>
      <x:color rgb="FF526173"/>
      <x:name val="Arial"/>
    </x:font>
    <x:font>
      <x:b/>
      <x:i/>
      <x:sz val="10"/>
      <x:color rgb="FF153A5B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0B5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/>
    <x:xf numFmtId="201" fontId="1" fillId="2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cab5abedf4454e" /><Relationship Type="http://schemas.openxmlformats.org/officeDocument/2006/relationships/theme" Target="/xl/theme/theme1.xml" Id="Rdcd18844b95942dc" /><Relationship Type="http://schemas.openxmlformats.org/officeDocument/2006/relationships/sharedStrings" Target="/xl/sharedStrings.xml" Id="Rd5c387a85e844454" /><Relationship Type="http://schemas.openxmlformats.org/officeDocument/2006/relationships/worksheet" Target="/xl/worksheets/sheet1.xml" Id="Rf50cf563f2d14870" /><Relationship Type="http://schemas.openxmlformats.org/officeDocument/2006/relationships/worksheet" Target="/xl/worksheets/sheet2.xml" Id="R969f04bec4684fd8" /><Relationship Type="http://schemas.openxmlformats.org/officeDocument/2006/relationships/worksheet" Target="/xl/worksheets/sheet3.xml" Id="R7bc2eddb71d64b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2" hidden="0" customWidth="1"/>
    <x:col min="3" max="3" width="15" hidden="0" customWidth="1"/>
    <x:col min="4" max="4" width="15" hidden="0" customWidth="1"/>
  </x:cols>
  <x:sheetData>
    <x:row r="1">
      <x:c r="A1" s="1"/>
      <x:c r="B1" s="1"/>
      <x:c r="C1" s="1"/>
      <x:c r="D1" s="1"/>
    </x:row>
    <x:row r="2">
      <x:c r="A2" s="3" t="str">
        <x:v>Purchase Order &amp; ETA Exceptions</x:v>
      </x:c>
      <x:c r="B2" s="3"/>
      <x:c r="C2" s="3"/>
      <x:c r="D2" s="3"/>
    </x:row>
    <x:row r="3">
      <x:c r="A3" s="1"/>
      <x:c r="B3" s="1"/>
      <x:c r="C3" s="1"/>
      <x:c r="D3" s="1"/>
    </x:row>
    <x:row r="4">
      <x:c r="A4" s="6" t="str">
        <x:v>Review as of</x:v>
      </x:c>
      <x:c r="B4" s="8" t="d">
        <x:v>2026-10-25T00:00:00.000Z</x:v>
      </x:c>
      <x:c r="C4" s="1"/>
      <x:c r="D4" s="1"/>
    </x:row>
    <x:row r="5">
      <x:c r="A5" s="1"/>
      <x:c r="B5" s="1"/>
      <x:c r="C5" s="1"/>
      <x:c r="D5" s="1"/>
    </x:row>
    <x:row r="6">
      <x:c r="A6" s="5" t="str">
        <x:v>PO lines</x:v>
      </x:c>
      <x:c r="B6" s="1" t="n">
        <x:f>COUNTA('PO tracker'!A8:A57)</x:f>
        <x:v>5</x:v>
      </x:c>
      <x:c r="C6" s="1"/>
      <x:c r="D6" s="1"/>
    </x:row>
    <x:row r="7">
      <x:c r="A7" s="5" t="str">
        <x:v>Open quantity</x:v>
      </x:c>
      <x:c r="B7" s="1" t="n">
        <x:f>SUM('PO tracker'!F8:F57)</x:f>
        <x:v>1170</x:v>
      </x:c>
      <x:c r="C7" s="1"/>
      <x:c r="D7" s="1"/>
    </x:row>
    <x:row r="8">
      <x:c r="A8" s="5" t="str">
        <x:v>Overdue lines</x:v>
      </x:c>
      <x:c r="B8" s="1" t="n">
        <x:f>COUNTIF('PO tracker'!L8:L57,"Overdue")</x:f>
        <x:v>1</x:v>
      </x:c>
      <x:c r="C8" s="1"/>
      <x:c r="D8" s="1"/>
    </x:row>
    <x:row r="9">
      <x:c r="A9" s="5" t="str">
        <x:v>Received lines</x:v>
      </x:c>
      <x:c r="B9" s="1" t="n">
        <x:f>COUNTIF('PO tracker'!L8:L57,"Received")</x:f>
        <x:v>0</x:v>
      </x:c>
      <x:c r="C9" s="1"/>
      <x:c r="D9" s="1"/>
    </x:row>
    <x:row r="10">
      <x:c r="A10" s="5" t="str">
        <x:v>On track / open</x:v>
      </x:c>
      <x:c r="B10" s="1" t="n">
        <x:f>COUNTIF('PO tracker'!L8:L57,"Open / on track")</x:f>
        <x:v>2</x:v>
      </x:c>
      <x:c r="C10" s="1"/>
      <x:c r="D10" s="1"/>
    </x:row>
    <x:row r="11">
      <x:c r="A11" s="5" t="str">
        <x:v>Lines missing ETA</x:v>
      </x:c>
      <x:c r="B11" s="1" t="n">
        <x:f>COUNTIF('PO tracker'!L8:L57,"Missing ETA")</x:f>
        <x:v>1</x:v>
      </x:c>
      <x:c r="C11" s="1"/>
      <x:c r="D11" s="1"/>
    </x:row>
    <x:row r="12">
      <x:c r="A12" s="1"/>
      <x:c r="B12" s="1"/>
      <x:c r="C12" s="1"/>
      <x:c r="D12" s="1"/>
    </x:row>
    <x:row r="13">
      <x:c r="A13" s="13" t="str">
        <x:v>Prioritize</x:v>
      </x:c>
      <x:c r="B13" s="12" t="str">
        <x:v>Filter Action for Overdue and Missing ETA.</x:v>
      </x:c>
      <x:c r="C13" s="1"/>
      <x:c r="D13" s="1"/>
    </x:row>
    <x:row r="14">
      <x:c r="A14" s="13" t="str">
        <x:v>Assign</x:v>
      </x:c>
      <x:c r="B14" s="12" t="str">
        <x:v>Add a buyer/owner and record the next follow-up in Notes.</x:v>
      </x:c>
      <x:c r="C14" s="1"/>
      <x:c r="D14" s="1"/>
    </x:row>
    <x:row r="15">
      <x:c r="A15" s="13" t="str">
        <x:v>Scope</x:v>
      </x:c>
      <x:c r="B15" s="12" t="str">
        <x:v>The file report does not contact suppliers or track shipments live.</x:v>
      </x:c>
      <x:c r="C15" s="1"/>
      <x:c r="D15" s="1"/>
    </x:row>
    <x:row r="16">
      <x:c r="A16" s="1"/>
      <x:c r="B16" s="1"/>
      <x:c r="C16" s="1"/>
      <x:c r="D16" s="1"/>
    </x:row>
  </x:sheetData>
  <x:mergeCells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5" hidden="0" customWidth="1"/>
    <x:col min="2" max="2" width="23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17" hidden="0" customWidth="1"/>
    <x:col min="8" max="8" width="17" hidden="0" customWidth="1"/>
    <x:col min="9" max="9" width="18" hidden="0" customWidth="1"/>
    <x:col min="10" max="10" width="18" hidden="0" customWidth="1"/>
    <x:col min="11" max="11" width="13" hidden="0" customWidth="1"/>
    <x:col min="12" max="12" width="2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3" t="str">
        <x:v>PO Line Tracker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2" t="str">
        <x:v>One purchase-order line per row. Yellow cells are editable; update quantity received and latest confirmed ETA after each supplier update.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32" customHeight="1">
      <x:c r="A7" s="17" t="str">
        <x:v>PO number</x:v>
      </x:c>
      <x:c r="B7" s="17" t="str">
        <x:v>Supplier</x:v>
      </x:c>
      <x:c r="C7" s="17" t="str">
        <x:v>SKU</x:v>
      </x:c>
      <x:c r="D7" s="17" t="str">
        <x:v>Qty ordered</x:v>
      </x:c>
      <x:c r="E7" s="17" t="str">
        <x:v>Qty received</x:v>
      </x:c>
      <x:c r="F7" s="17" t="str">
        <x:v>Open qty</x:v>
      </x:c>
      <x:c r="G7" s="17" t="str">
        <x:v>Promised date</x:v>
      </x:c>
      <x:c r="H7" s="17" t="str">
        <x:v>Latest ETA</x:v>
      </x:c>
      <x:c r="I7" s="17" t="str">
        <x:v>Status</x:v>
      </x:c>
      <x:c r="J7" s="17" t="str">
        <x:v>Buyer / owner</x:v>
      </x:c>
      <x:c r="K7" s="17" t="str">
        <x:v>Days late</x:v>
      </x:c>
      <x:c r="L7" s="17" t="str">
        <x:v>Action</x:v>
      </x:c>
    </x:row>
    <x:row r="8">
      <x:c r="A8" s="7" t="str">
        <x:v>PO-1042</x:v>
      </x:c>
      <x:c r="B8" s="7" t="str">
        <x:v>Northstar Components</x:v>
      </x:c>
      <x:c r="C8" s="7" t="str">
        <x:v>SKU-100</x:v>
      </x:c>
      <x:c r="D8" s="18" t="n">
        <x:v>500</x:v>
      </x:c>
      <x:c r="E8" s="18" t="n">
        <x:v>200</x:v>
      </x:c>
      <x:c r="F8" s="19" t="n">
        <x:f>IF(A8="","",MAX(0,D8-E8))</x:f>
        <x:v>300</x:v>
      </x:c>
      <x:c r="G8" s="8" t="d">
        <x:v>2026-10-20T00:00:00.000Z</x:v>
      </x:c>
      <x:c r="H8" s="8" t="d">
        <x:v>2026-10-29T00:00:00.000Z</x:v>
      </x:c>
      <x:c r="I8" s="7" t="str">
        <x:v>In transit</x:v>
      </x:c>
      <x:c r="J8" s="7" t="str">
        <x:v>Asha</x:v>
      </x:c>
      <x:c r="K8" s="4" t="n">
        <x:f>IFERROR(IF(A8="","",IF(OR(H8&lt;&gt;"",G8&lt;&gt;""),MAX(0,Overview!$B$4-IF(H8&lt;&gt;"",H8,G8)),0)),"")</x:f>
        <x:v>0</x:v>
      </x:c>
      <x:c r="L8" s="4" t="str">
        <x:f>IFERROR(IF(A8="","",IF(E8&gt;D8,"Over-received",IF(I8="Closed",IF(F8&gt;0,"Closed with open qty","Closed"),IF(F8=0,"Received",IF(K8&gt;0,"Overdue",IF(H8="","Missing ETA","Open / on track")))))),"")</x:f>
        <x:v>Open / on track</x:v>
      </x:c>
    </x:row>
    <x:row r="9">
      <x:c r="A9" s="7" t="str">
        <x:v>PO-1051</x:v>
      </x:c>
      <x:c r="B9" s="7" t="str">
        <x:v>Blue Harbor Parts</x:v>
      </x:c>
      <x:c r="C9" s="7" t="str">
        <x:v>SKU-204</x:v>
      </x:c>
      <x:c r="D9" s="18" t="n">
        <x:v>120</x:v>
      </x:c>
      <x:c r="E9" s="18" t="n">
        <x:v>0</x:v>
      </x:c>
      <x:c r="F9" s="19" t="n">
        <x:f>IF(A9="","",MAX(0,D9-E9))</x:f>
        <x:v>120</x:v>
      </x:c>
      <x:c r="G9" s="8" t="d">
        <x:v>2026-10-22T00:00:00.000Z</x:v>
      </x:c>
      <x:c r="H9" s="8" t="d">
        <x:v>2026-10-24T00:00:00.000Z</x:v>
      </x:c>
      <x:c r="I9" s="7" t="str">
        <x:v>Open</x:v>
      </x:c>
      <x:c r="J9" s="7" t="str">
        <x:v>Ravi</x:v>
      </x:c>
      <x:c r="K9" s="4" t="n">
        <x:f>IFERROR(IF(A9="","",IF(OR(H9&lt;&gt;"",G9&lt;&gt;""),MAX(0,Overview!$B$4-IF(H9&lt;&gt;"",H9,G9)),0)),"")</x:f>
        <x:v>1</x:v>
      </x:c>
      <x:c r="L9" s="4" t="str">
        <x:f>IFERROR(IF(A9="","",IF(E9&gt;D9,"Over-received",IF(I9="Closed",IF(F9&gt;0,"Closed with open qty","Closed"),IF(F9=0,"Received",IF(K9&gt;0,"Overdue",IF(H9="","Missing ETA","Open / on track")))))),"")</x:f>
        <x:v>Overdue</x:v>
      </x:c>
    </x:row>
    <x:row r="10">
      <x:c r="A10" s="7" t="str">
        <x:v>PO-1068</x:v>
      </x:c>
      <x:c r="B10" s="7" t="str">
        <x:v>Meridian Packaging</x:v>
      </x:c>
      <x:c r="C10" s="7" t="str">
        <x:v>SKU-035</x:v>
      </x:c>
      <x:c r="D10" s="18" t="n">
        <x:v>1000</x:v>
      </x:c>
      <x:c r="E10" s="18" t="n">
        <x:v>1000</x:v>
      </x:c>
      <x:c r="F10" s="19" t="n">
        <x:f>IF(A10="","",MAX(0,D10-E10))</x:f>
        <x:v>0</x:v>
      </x:c>
      <x:c r="G10" s="8" t="d">
        <x:v>2026-10-23T00:00:00.000Z</x:v>
      </x:c>
      <x:c r="H10" s="8" t="d">
        <x:v>2026-10-23T00:00:00.000Z</x:v>
      </x:c>
      <x:c r="I10" s="7" t="str">
        <x:v>Closed</x:v>
      </x:c>
      <x:c r="J10" s="7" t="str">
        <x:v>Asha</x:v>
      </x:c>
      <x:c r="K10" s="4" t="n">
        <x:f>IFERROR(IF(A10="","",IF(OR(H10&lt;&gt;"",G10&lt;&gt;""),MAX(0,Overview!$B$4-IF(H10&lt;&gt;"",H10,G10)),0)),"")</x:f>
        <x:v>2</x:v>
      </x:c>
      <x:c r="L10" s="4" t="str">
        <x:f>IFERROR(IF(A10="","",IF(E10&gt;D10,"Over-received",IF(I10="Closed",IF(F10&gt;0,"Closed with open qty","Closed"),IF(F10=0,"Received",IF(K10&gt;0,"Overdue",IF(H10="","Missing ETA","Open / on track")))))),"")</x:f>
        <x:v>Closed</x:v>
      </x:c>
    </x:row>
    <x:row r="11">
      <x:c r="A11" s="7" t="str">
        <x:v>PO-1074</x:v>
      </x:c>
      <x:c r="B11" s="7" t="str">
        <x:v>Northstar Components</x:v>
      </x:c>
      <x:c r="C11" s="7" t="str">
        <x:v>SKU-121</x:v>
      </x:c>
      <x:c r="D11" s="18" t="n">
        <x:v>250</x:v>
      </x:c>
      <x:c r="E11" s="18" t="n">
        <x:v>0</x:v>
      </x:c>
      <x:c r="F11" s="19" t="n">
        <x:f>IF(A11="","",MAX(0,D11-E11))</x:f>
        <x:v>250</x:v>
      </x:c>
      <x:c r="G11" s="8" t="d">
        <x:v>2026-10-28T00:00:00.000Z</x:v>
      </x:c>
      <x:c r="H11" s="8"/>
      <x:c r="I11" s="7" t="str">
        <x:v>At supplier</x:v>
      </x:c>
      <x:c r="J11" s="7" t="str">
        <x:v>Nikhil</x:v>
      </x:c>
      <x:c r="K11" s="4" t="n">
        <x:f>IFERROR(IF(A11="","",IF(OR(H11&lt;&gt;"",G11&lt;&gt;""),MAX(0,Overview!$B$4-IF(H11&lt;&gt;"",H11,G11)),0)),"")</x:f>
        <x:v>0</x:v>
      </x:c>
      <x:c r="L11" s="4" t="str">
        <x:f>IFERROR(IF(A11="","",IF(E11&gt;D11,"Over-received",IF(I11="Closed",IF(F11&gt;0,"Closed with open qty","Closed"),IF(F11=0,"Received",IF(K11&gt;0,"Overdue",IF(H11="","Missing ETA","Open / on track")))))),"")</x:f>
        <x:v>Missing ETA</x:v>
      </x:c>
    </x:row>
    <x:row r="12">
      <x:c r="A12" s="7" t="str">
        <x:v>PO-1080</x:v>
      </x:c>
      <x:c r="B12" s="7" t="str">
        <x:v>Blue Harbor Parts</x:v>
      </x:c>
      <x:c r="C12" s="7" t="str">
        <x:v>SKU-512</x:v>
      </x:c>
      <x:c r="D12" s="18" t="n">
        <x:v>800</x:v>
      </x:c>
      <x:c r="E12" s="18" t="n">
        <x:v>300</x:v>
      </x:c>
      <x:c r="F12" s="19" t="n">
        <x:f>IF(A12="","",MAX(0,D12-E12))</x:f>
        <x:v>500</x:v>
      </x:c>
      <x:c r="G12" s="8" t="d">
        <x:v>2026-10-21T00:00:00.000Z</x:v>
      </x:c>
      <x:c r="H12" s="8" t="d">
        <x:v>2026-10-27T00:00:00.000Z</x:v>
      </x:c>
      <x:c r="I12" s="7" t="str">
        <x:v>Part received</x:v>
      </x:c>
      <x:c r="J12" s="7" t="str">
        <x:v>Ravi</x:v>
      </x:c>
      <x:c r="K12" s="4" t="n">
        <x:f>IFERROR(IF(A12="","",IF(OR(H12&lt;&gt;"",G12&lt;&gt;""),MAX(0,Overview!$B$4-IF(H12&lt;&gt;"",H12,G12)),0)),"")</x:f>
        <x:v>0</x:v>
      </x:c>
      <x:c r="L12" s="4" t="str">
        <x:f>IFERROR(IF(A12="","",IF(E12&gt;D12,"Over-received",IF(I12="Closed",IF(F12&gt;0,"Closed with open qty","Closed"),IF(F12=0,"Received",IF(K12&gt;0,"Overdue",IF(H12="","Missing ETA","Open / on track")))))),"")</x:f>
        <x:v>Open / on track</x:v>
      </x:c>
    </x:row>
    <x:row r="13">
      <x:c r="A13" s="7"/>
      <x:c r="B13" s="7"/>
      <x:c r="C13" s="7"/>
      <x:c r="D13" s="18"/>
      <x:c r="E13" s="18"/>
      <x:c r="F13" s="19"/>
      <x:c r="G13" s="8"/>
      <x:c r="H13" s="8"/>
      <x:c r="I13" s="7"/>
      <x:c r="J13" s="7"/>
      <x:c r="K13" s="4" t="str">
        <x:f>IFERROR(IF(A13="","",IF(OR(H13&lt;&gt;"",G13&lt;&gt;""),MAX(0,Overview!$B$4-IF(H13&lt;&gt;"",H13,G13)),0)),"")</x:f>
      </x:c>
      <x:c r="L13" s="4" t="str">
        <x:f>IFERROR(IF(A13="","",IF(E13&gt;D13,"Over-received",IF(I13="Closed",IF(F13&gt;0,"Closed with open qty","Closed"),IF(F13=0,"Received",IF(K13&gt;0,"Overdue",IF(H13="","Missing ETA","Open / on track")))))),"")</x:f>
      </x:c>
    </x:row>
    <x:row r="14">
      <x:c r="A14" s="7"/>
      <x:c r="B14" s="7"/>
      <x:c r="C14" s="7"/>
      <x:c r="D14" s="18"/>
      <x:c r="E14" s="18"/>
      <x:c r="F14" s="19"/>
      <x:c r="G14" s="8"/>
      <x:c r="H14" s="8"/>
      <x:c r="I14" s="7"/>
      <x:c r="J14" s="7"/>
      <x:c r="K14" s="4" t="str">
        <x:f>IFERROR(IF(A14="","",IF(OR(H14&lt;&gt;"",G14&lt;&gt;""),MAX(0,Overview!$B$4-IF(H14&lt;&gt;"",H14,G14)),0)),"")</x:f>
      </x:c>
      <x:c r="L14" s="4" t="str">
        <x:f>IFERROR(IF(A14="","",IF(E14&gt;D14,"Over-received",IF(I14="Closed",IF(F14&gt;0,"Closed with open qty","Closed"),IF(F14=0,"Received",IF(K14&gt;0,"Overdue",IF(H14="","Missing ETA","Open / on track")))))),"")</x:f>
      </x:c>
    </x:row>
    <x:row r="15">
      <x:c r="A15" s="7"/>
      <x:c r="B15" s="7"/>
      <x:c r="C15" s="7"/>
      <x:c r="D15" s="18"/>
      <x:c r="E15" s="18"/>
      <x:c r="F15" s="19"/>
      <x:c r="G15" s="8"/>
      <x:c r="H15" s="8"/>
      <x:c r="I15" s="7"/>
      <x:c r="J15" s="7"/>
      <x:c r="K15" s="4" t="str">
        <x:f>IFERROR(IF(A15="","",IF(OR(H15&lt;&gt;"",G15&lt;&gt;""),MAX(0,Overview!$B$4-IF(H15&lt;&gt;"",H15,G15)),0)),"")</x:f>
      </x:c>
      <x:c r="L15" s="4" t="str">
        <x:f>IFERROR(IF(A15="","",IF(E15&gt;D15,"Over-received",IF(I15="Closed",IF(F15&gt;0,"Closed with open qty","Closed"),IF(F15=0,"Received",IF(K15&gt;0,"Overdue",IF(H15="","Missing ETA","Open / on track")))))),"")</x:f>
      </x:c>
    </x:row>
    <x:row r="16">
      <x:c r="A16" s="7"/>
      <x:c r="B16" s="7"/>
      <x:c r="C16" s="7"/>
      <x:c r="D16" s="18"/>
      <x:c r="E16" s="18"/>
      <x:c r="F16" s="19"/>
      <x:c r="G16" s="8"/>
      <x:c r="H16" s="8"/>
      <x:c r="I16" s="7"/>
      <x:c r="J16" s="7"/>
      <x:c r="K16" s="4" t="str">
        <x:f>IFERROR(IF(A16="","",IF(OR(H16&lt;&gt;"",G16&lt;&gt;""),MAX(0,Overview!$B$4-IF(H16&lt;&gt;"",H16,G16)),0)),"")</x:f>
      </x:c>
      <x:c r="L16" s="4" t="str">
        <x:f>IFERROR(IF(A16="","",IF(E16&gt;D16,"Over-received",IF(I16="Closed",IF(F16&gt;0,"Closed with open qty","Closed"),IF(F16=0,"Received",IF(K16&gt;0,"Overdue",IF(H16="","Missing ETA","Open / on track")))))),"")</x:f>
      </x:c>
    </x:row>
    <x:row r="17">
      <x:c r="A17" s="7"/>
      <x:c r="B17" s="7"/>
      <x:c r="C17" s="7"/>
      <x:c r="D17" s="18"/>
      <x:c r="E17" s="18"/>
      <x:c r="F17" s="19"/>
      <x:c r="G17" s="8"/>
      <x:c r="H17" s="8"/>
      <x:c r="I17" s="7"/>
      <x:c r="J17" s="7"/>
      <x:c r="K17" s="4" t="str">
        <x:f>IFERROR(IF(A17="","",IF(OR(H17&lt;&gt;"",G17&lt;&gt;""),MAX(0,Overview!$B$4-IF(H17&lt;&gt;"",H17,G17)),0)),"")</x:f>
      </x:c>
      <x:c r="L17" s="4" t="str">
        <x:f>IFERROR(IF(A17="","",IF(E17&gt;D17,"Over-received",IF(I17="Closed",IF(F17&gt;0,"Closed with open qty","Closed"),IF(F17=0,"Received",IF(K17&gt;0,"Overdue",IF(H17="","Missing ETA","Open / on track")))))),"")</x:f>
      </x:c>
    </x:row>
    <x:row r="18">
      <x:c r="A18" s="7"/>
      <x:c r="B18" s="7"/>
      <x:c r="C18" s="7"/>
      <x:c r="D18" s="18"/>
      <x:c r="E18" s="18"/>
      <x:c r="F18" s="19"/>
      <x:c r="G18" s="8"/>
      <x:c r="H18" s="8"/>
      <x:c r="I18" s="7"/>
      <x:c r="J18" s="7"/>
      <x:c r="K18" s="4" t="str">
        <x:f>IFERROR(IF(A18="","",IF(OR(H18&lt;&gt;"",G18&lt;&gt;""),MAX(0,Overview!$B$4-IF(H18&lt;&gt;"",H18,G18)),0)),"")</x:f>
      </x:c>
      <x:c r="L18" s="4" t="str">
        <x:f>IFERROR(IF(A18="","",IF(E18&gt;D18,"Over-received",IF(I18="Closed",IF(F18&gt;0,"Closed with open qty","Closed"),IF(F18=0,"Received",IF(K18&gt;0,"Overdue",IF(H18="","Missing ETA","Open / on track")))))),"")</x:f>
      </x:c>
    </x:row>
    <x:row r="19">
      <x:c r="A19" s="7"/>
      <x:c r="B19" s="7"/>
      <x:c r="C19" s="7"/>
      <x:c r="D19" s="18"/>
      <x:c r="E19" s="18"/>
      <x:c r="F19" s="19"/>
      <x:c r="G19" s="8"/>
      <x:c r="H19" s="8"/>
      <x:c r="I19" s="7"/>
      <x:c r="J19" s="7"/>
      <x:c r="K19" s="4" t="str">
        <x:f>IFERROR(IF(A19="","",IF(OR(H19&lt;&gt;"",G19&lt;&gt;""),MAX(0,Overview!$B$4-IF(H19&lt;&gt;"",H19,G19)),0)),"")</x:f>
      </x:c>
      <x:c r="L19" s="4" t="str">
        <x:f>IFERROR(IF(A19="","",IF(E19&gt;D19,"Over-received",IF(I19="Closed",IF(F19&gt;0,"Closed with open qty","Closed"),IF(F19=0,"Received",IF(K19&gt;0,"Overdue",IF(H19="","Missing ETA","Open / on track")))))),"")</x:f>
      </x:c>
    </x:row>
    <x:row r="20">
      <x:c r="A20" s="7"/>
      <x:c r="B20" s="7"/>
      <x:c r="C20" s="7"/>
      <x:c r="D20" s="18"/>
      <x:c r="E20" s="18"/>
      <x:c r="F20" s="19"/>
      <x:c r="G20" s="8"/>
      <x:c r="H20" s="8"/>
      <x:c r="I20" s="7"/>
      <x:c r="J20" s="7"/>
      <x:c r="K20" s="4" t="str">
        <x:f>IFERROR(IF(A20="","",IF(OR(H20&lt;&gt;"",G20&lt;&gt;""),MAX(0,Overview!$B$4-IF(H20&lt;&gt;"",H20,G20)),0)),"")</x:f>
      </x:c>
      <x:c r="L20" s="4" t="str">
        <x:f>IFERROR(IF(A20="","",IF(E20&gt;D20,"Over-received",IF(I20="Closed",IF(F20&gt;0,"Closed with open qty","Closed"),IF(F20=0,"Received",IF(K20&gt;0,"Overdue",IF(H20="","Missing ETA","Open / on track")))))),"")</x:f>
      </x:c>
    </x:row>
    <x:row r="21">
      <x:c r="A21" s="7"/>
      <x:c r="B21" s="7"/>
      <x:c r="C21" s="7"/>
      <x:c r="D21" s="18"/>
      <x:c r="E21" s="18"/>
      <x:c r="F21" s="19"/>
      <x:c r="G21" s="8"/>
      <x:c r="H21" s="8"/>
      <x:c r="I21" s="7"/>
      <x:c r="J21" s="7"/>
      <x:c r="K21" s="4" t="str">
        <x:f>IFERROR(IF(A21="","",IF(OR(H21&lt;&gt;"",G21&lt;&gt;""),MAX(0,Overview!$B$4-IF(H21&lt;&gt;"",H21,G21)),0)),"")</x:f>
      </x:c>
      <x:c r="L21" s="4" t="str">
        <x:f>IFERROR(IF(A21="","",IF(E21&gt;D21,"Over-received",IF(I21="Closed",IF(F21&gt;0,"Closed with open qty","Closed"),IF(F21=0,"Received",IF(K21&gt;0,"Overdue",IF(H21="","Missing ETA","Open / on track")))))),"")</x:f>
      </x:c>
    </x:row>
    <x:row r="22">
      <x:c r="A22" s="7"/>
      <x:c r="B22" s="7"/>
      <x:c r="C22" s="7"/>
      <x:c r="D22" s="18"/>
      <x:c r="E22" s="18"/>
      <x:c r="F22" s="19"/>
      <x:c r="G22" s="8"/>
      <x:c r="H22" s="8"/>
      <x:c r="I22" s="7"/>
      <x:c r="J22" s="7"/>
      <x:c r="K22" s="4" t="str">
        <x:f>IFERROR(IF(A22="","",IF(OR(H22&lt;&gt;"",G22&lt;&gt;""),MAX(0,Overview!$B$4-IF(H22&lt;&gt;"",H22,G22)),0)),"")</x:f>
      </x:c>
      <x:c r="L22" s="4" t="str">
        <x:f>IFERROR(IF(A22="","",IF(E22&gt;D22,"Over-received",IF(I22="Closed",IF(F22&gt;0,"Closed with open qty","Closed"),IF(F22=0,"Received",IF(K22&gt;0,"Overdue",IF(H22="","Missing ETA","Open / on track")))))),"")</x:f>
      </x:c>
    </x:row>
    <x:row r="23">
      <x:c r="A23" s="7"/>
      <x:c r="B23" s="7"/>
      <x:c r="C23" s="7"/>
      <x:c r="D23" s="18"/>
      <x:c r="E23" s="18"/>
      <x:c r="F23" s="19"/>
      <x:c r="G23" s="8"/>
      <x:c r="H23" s="8"/>
      <x:c r="I23" s="7"/>
      <x:c r="J23" s="7"/>
      <x:c r="K23" s="4" t="str">
        <x:f>IFERROR(IF(A23="","",IF(OR(H23&lt;&gt;"",G23&lt;&gt;""),MAX(0,Overview!$B$4-IF(H23&lt;&gt;"",H23,G23)),0)),"")</x:f>
      </x:c>
      <x:c r="L23" s="4" t="str">
        <x:f>IFERROR(IF(A23="","",IF(E23&gt;D23,"Over-received",IF(I23="Closed",IF(F23&gt;0,"Closed with open qty","Closed"),IF(F23=0,"Received",IF(K23&gt;0,"Overdue",IF(H23="","Missing ETA","Open / on track")))))),"")</x:f>
      </x:c>
    </x:row>
    <x:row r="24">
      <x:c r="A24" s="7"/>
      <x:c r="B24" s="7"/>
      <x:c r="C24" s="7"/>
      <x:c r="D24" s="18"/>
      <x:c r="E24" s="18"/>
      <x:c r="F24" s="19"/>
      <x:c r="G24" s="8"/>
      <x:c r="H24" s="8"/>
      <x:c r="I24" s="7"/>
      <x:c r="J24" s="7"/>
      <x:c r="K24" s="4" t="str">
        <x:f>IFERROR(IF(A24="","",IF(OR(H24&lt;&gt;"",G24&lt;&gt;""),MAX(0,Overview!$B$4-IF(H24&lt;&gt;"",H24,G24)),0)),"")</x:f>
      </x:c>
      <x:c r="L24" s="4" t="str">
        <x:f>IFERROR(IF(A24="","",IF(E24&gt;D24,"Over-received",IF(I24="Closed",IF(F24&gt;0,"Closed with open qty","Closed"),IF(F24=0,"Received",IF(K24&gt;0,"Overdue",IF(H24="","Missing ETA","Open / on track")))))),"")</x:f>
      </x:c>
    </x:row>
    <x:row r="25">
      <x:c r="A25" s="7"/>
      <x:c r="B25" s="7"/>
      <x:c r="C25" s="7"/>
      <x:c r="D25" s="18"/>
      <x:c r="E25" s="18"/>
      <x:c r="F25" s="19"/>
      <x:c r="G25" s="8"/>
      <x:c r="H25" s="8"/>
      <x:c r="I25" s="7"/>
      <x:c r="J25" s="7"/>
      <x:c r="K25" s="4" t="str">
        <x:f>IFERROR(IF(A25="","",IF(OR(H25&lt;&gt;"",G25&lt;&gt;""),MAX(0,Overview!$B$4-IF(H25&lt;&gt;"",H25,G25)),0)),"")</x:f>
      </x:c>
      <x:c r="L25" s="4" t="str">
        <x:f>IFERROR(IF(A25="","",IF(E25&gt;D25,"Over-received",IF(I25="Closed",IF(F25&gt;0,"Closed with open qty","Closed"),IF(F25=0,"Received",IF(K25&gt;0,"Overdue",IF(H25="","Missing ETA","Open / on track")))))),"")</x:f>
      </x:c>
    </x:row>
    <x:row r="26">
      <x:c r="A26" s="7"/>
      <x:c r="B26" s="7"/>
      <x:c r="C26" s="7"/>
      <x:c r="D26" s="18"/>
      <x:c r="E26" s="18"/>
      <x:c r="F26" s="19"/>
      <x:c r="G26" s="8"/>
      <x:c r="H26" s="8"/>
      <x:c r="I26" s="7"/>
      <x:c r="J26" s="7"/>
      <x:c r="K26" s="4" t="str">
        <x:f>IFERROR(IF(A26="","",IF(OR(H26&lt;&gt;"",G26&lt;&gt;""),MAX(0,Overview!$B$4-IF(H26&lt;&gt;"",H26,G26)),0)),"")</x:f>
      </x:c>
      <x:c r="L26" s="4" t="str">
        <x:f>IFERROR(IF(A26="","",IF(E26&gt;D26,"Over-received",IF(I26="Closed",IF(F26&gt;0,"Closed with open qty","Closed"),IF(F26=0,"Received",IF(K26&gt;0,"Overdue",IF(H26="","Missing ETA","Open / on track")))))),"")</x:f>
      </x:c>
    </x:row>
    <x:row r="27">
      <x:c r="A27" s="7"/>
      <x:c r="B27" s="7"/>
      <x:c r="C27" s="7"/>
      <x:c r="D27" s="18"/>
      <x:c r="E27" s="18"/>
      <x:c r="F27" s="19"/>
      <x:c r="G27" s="8"/>
      <x:c r="H27" s="8"/>
      <x:c r="I27" s="7"/>
      <x:c r="J27" s="7"/>
      <x:c r="K27" s="4" t="str">
        <x:f>IFERROR(IF(A27="","",IF(OR(H27&lt;&gt;"",G27&lt;&gt;""),MAX(0,Overview!$B$4-IF(H27&lt;&gt;"",H27,G27)),0)),"")</x:f>
      </x:c>
      <x:c r="L27" s="4" t="str">
        <x:f>IFERROR(IF(A27="","",IF(E27&gt;D27,"Over-received",IF(I27="Closed",IF(F27&gt;0,"Closed with open qty","Closed"),IF(F27=0,"Received",IF(K27&gt;0,"Overdue",IF(H27="","Missing ETA","Open / on track")))))),"")</x:f>
      </x:c>
    </x:row>
    <x:row r="28">
      <x:c r="A28" s="7"/>
      <x:c r="B28" s="7"/>
      <x:c r="C28" s="7"/>
      <x:c r="D28" s="18"/>
      <x:c r="E28" s="18"/>
      <x:c r="F28" s="19"/>
      <x:c r="G28" s="8"/>
      <x:c r="H28" s="8"/>
      <x:c r="I28" s="7"/>
      <x:c r="J28" s="7"/>
      <x:c r="K28" s="4" t="str">
        <x:f>IFERROR(IF(A28="","",IF(OR(H28&lt;&gt;"",G28&lt;&gt;""),MAX(0,Overview!$B$4-IF(H28&lt;&gt;"",H28,G28)),0)),"")</x:f>
      </x:c>
      <x:c r="L28" s="4" t="str">
        <x:f>IFERROR(IF(A28="","",IF(E28&gt;D28,"Over-received",IF(I28="Closed",IF(F28&gt;0,"Closed with open qty","Closed"),IF(F28=0,"Received",IF(K28&gt;0,"Overdue",IF(H28="","Missing ETA","Open / on track")))))),"")</x:f>
      </x:c>
    </x:row>
    <x:row r="29">
      <x:c r="A29" s="7"/>
      <x:c r="B29" s="7"/>
      <x:c r="C29" s="7"/>
      <x:c r="D29" s="18"/>
      <x:c r="E29" s="18"/>
      <x:c r="F29" s="19"/>
      <x:c r="G29" s="8"/>
      <x:c r="H29" s="8"/>
      <x:c r="I29" s="7"/>
      <x:c r="J29" s="7"/>
      <x:c r="K29" s="4" t="str">
        <x:f>IFERROR(IF(A29="","",IF(OR(H29&lt;&gt;"",G29&lt;&gt;""),MAX(0,Overview!$B$4-IF(H29&lt;&gt;"",H29,G29)),0)),"")</x:f>
      </x:c>
      <x:c r="L29" s="4" t="str">
        <x:f>IFERROR(IF(A29="","",IF(E29&gt;D29,"Over-received",IF(I29="Closed",IF(F29&gt;0,"Closed with open qty","Closed"),IF(F29=0,"Received",IF(K29&gt;0,"Overdue",IF(H29="","Missing ETA","Open / on track")))))),"")</x:f>
      </x:c>
    </x:row>
    <x:row r="30">
      <x:c r="A30" s="7"/>
      <x:c r="B30" s="7"/>
      <x:c r="C30" s="7"/>
      <x:c r="D30" s="18"/>
      <x:c r="E30" s="18"/>
      <x:c r="F30" s="19"/>
      <x:c r="G30" s="8"/>
      <x:c r="H30" s="8"/>
      <x:c r="I30" s="7"/>
      <x:c r="J30" s="7"/>
      <x:c r="K30" s="4" t="str">
        <x:f>IFERROR(IF(A30="","",IF(OR(H30&lt;&gt;"",G30&lt;&gt;""),MAX(0,Overview!$B$4-IF(H30&lt;&gt;"",H30,G30)),0)),"")</x:f>
      </x:c>
      <x:c r="L30" s="4" t="str">
        <x:f>IFERROR(IF(A30="","",IF(E30&gt;D30,"Over-received",IF(I30="Closed",IF(F30&gt;0,"Closed with open qty","Closed"),IF(F30=0,"Received",IF(K30&gt;0,"Overdue",IF(H30="","Missing ETA","Open / on track")))))),"")</x:f>
      </x:c>
    </x:row>
    <x:row r="31">
      <x:c r="A31" s="7"/>
      <x:c r="B31" s="7"/>
      <x:c r="C31" s="7"/>
      <x:c r="D31" s="18"/>
      <x:c r="E31" s="18"/>
      <x:c r="F31" s="19"/>
      <x:c r="G31" s="8"/>
      <x:c r="H31" s="8"/>
      <x:c r="I31" s="7"/>
      <x:c r="J31" s="7"/>
      <x:c r="K31" s="4" t="str">
        <x:f>IFERROR(IF(A31="","",IF(OR(H31&lt;&gt;"",G31&lt;&gt;""),MAX(0,Overview!$B$4-IF(H31&lt;&gt;"",H31,G31)),0)),"")</x:f>
      </x:c>
      <x:c r="L31" s="4" t="str">
        <x:f>IFERROR(IF(A31="","",IF(E31&gt;D31,"Over-received",IF(I31="Closed",IF(F31&gt;0,"Closed with open qty","Closed"),IF(F31=0,"Received",IF(K31&gt;0,"Overdue",IF(H31="","Missing ETA","Open / on track")))))),"")</x:f>
      </x:c>
    </x:row>
    <x:row r="32">
      <x:c r="A32" s="7"/>
      <x:c r="B32" s="7"/>
      <x:c r="C32" s="7"/>
      <x:c r="D32" s="18"/>
      <x:c r="E32" s="18"/>
      <x:c r="F32" s="19"/>
      <x:c r="G32" s="8"/>
      <x:c r="H32" s="8"/>
      <x:c r="I32" s="7"/>
      <x:c r="J32" s="7"/>
      <x:c r="K32" s="4" t="str">
        <x:f>IFERROR(IF(A32="","",IF(OR(H32&lt;&gt;"",G32&lt;&gt;""),MAX(0,Overview!$B$4-IF(H32&lt;&gt;"",H32,G32)),0)),"")</x:f>
      </x:c>
      <x:c r="L32" s="4" t="str">
        <x:f>IFERROR(IF(A32="","",IF(E32&gt;D32,"Over-received",IF(I32="Closed",IF(F32&gt;0,"Closed with open qty","Closed"),IF(F32=0,"Received",IF(K32&gt;0,"Overdue",IF(H32="","Missing ETA","Open / on track")))))),"")</x:f>
      </x:c>
    </x:row>
    <x:row r="33">
      <x:c r="A33" s="7"/>
      <x:c r="B33" s="7"/>
      <x:c r="C33" s="7"/>
      <x:c r="D33" s="18"/>
      <x:c r="E33" s="18"/>
      <x:c r="F33" s="19"/>
      <x:c r="G33" s="8"/>
      <x:c r="H33" s="8"/>
      <x:c r="I33" s="7"/>
      <x:c r="J33" s="7"/>
      <x:c r="K33" s="4" t="str">
        <x:f>IFERROR(IF(A33="","",IF(OR(H33&lt;&gt;"",G33&lt;&gt;""),MAX(0,Overview!$B$4-IF(H33&lt;&gt;"",H33,G33)),0)),"")</x:f>
      </x:c>
      <x:c r="L33" s="4" t="str">
        <x:f>IFERROR(IF(A33="","",IF(E33&gt;D33,"Over-received",IF(I33="Closed",IF(F33&gt;0,"Closed with open qty","Closed"),IF(F33=0,"Received",IF(K33&gt;0,"Overdue",IF(H33="","Missing ETA","Open / on track")))))),"")</x:f>
      </x:c>
    </x:row>
    <x:row r="34">
      <x:c r="A34" s="7"/>
      <x:c r="B34" s="7"/>
      <x:c r="C34" s="7"/>
      <x:c r="D34" s="18"/>
      <x:c r="E34" s="18"/>
      <x:c r="F34" s="19"/>
      <x:c r="G34" s="8"/>
      <x:c r="H34" s="8"/>
      <x:c r="I34" s="7"/>
      <x:c r="J34" s="7"/>
      <x:c r="K34" s="4" t="str">
        <x:f>IFERROR(IF(A34="","",IF(OR(H34&lt;&gt;"",G34&lt;&gt;""),MAX(0,Overview!$B$4-IF(H34&lt;&gt;"",H34,G34)),0)),"")</x:f>
      </x:c>
      <x:c r="L34" s="4" t="str">
        <x:f>IFERROR(IF(A34="","",IF(E34&gt;D34,"Over-received",IF(I34="Closed",IF(F34&gt;0,"Closed with open qty","Closed"),IF(F34=0,"Received",IF(K34&gt;0,"Overdue",IF(H34="","Missing ETA","Open / on track")))))),"")</x:f>
      </x:c>
    </x:row>
    <x:row r="35">
      <x:c r="A35" s="7"/>
      <x:c r="B35" s="7"/>
      <x:c r="C35" s="7"/>
      <x:c r="D35" s="18"/>
      <x:c r="E35" s="18"/>
      <x:c r="F35" s="19"/>
      <x:c r="G35" s="8"/>
      <x:c r="H35" s="8"/>
      <x:c r="I35" s="7"/>
      <x:c r="J35" s="7"/>
      <x:c r="K35" s="4" t="str">
        <x:f>IFERROR(IF(A35="","",IF(OR(H35&lt;&gt;"",G35&lt;&gt;""),MAX(0,Overview!$B$4-IF(H35&lt;&gt;"",H35,G35)),0)),"")</x:f>
      </x:c>
      <x:c r="L35" s="4" t="str">
        <x:f>IFERROR(IF(A35="","",IF(E35&gt;D35,"Over-received",IF(I35="Closed",IF(F35&gt;0,"Closed with open qty","Closed"),IF(F35=0,"Received",IF(K35&gt;0,"Overdue",IF(H35="","Missing ETA","Open / on track")))))),"")</x:f>
      </x:c>
    </x:row>
    <x:row r="36">
      <x:c r="A36" s="7"/>
      <x:c r="B36" s="7"/>
      <x:c r="C36" s="7"/>
      <x:c r="D36" s="18"/>
      <x:c r="E36" s="18"/>
      <x:c r="F36" s="19"/>
      <x:c r="G36" s="8"/>
      <x:c r="H36" s="8"/>
      <x:c r="I36" s="7"/>
      <x:c r="J36" s="7"/>
      <x:c r="K36" s="4" t="str">
        <x:f>IFERROR(IF(A36="","",IF(OR(H36&lt;&gt;"",G36&lt;&gt;""),MAX(0,Overview!$B$4-IF(H36&lt;&gt;"",H36,G36)),0)),"")</x:f>
      </x:c>
      <x:c r="L36" s="4" t="str">
        <x:f>IFERROR(IF(A36="","",IF(E36&gt;D36,"Over-received",IF(I36="Closed",IF(F36&gt;0,"Closed with open qty","Closed"),IF(F36=0,"Received",IF(K36&gt;0,"Overdue",IF(H36="","Missing ETA","Open / on track")))))),"")</x:f>
      </x:c>
    </x:row>
    <x:row r="37">
      <x:c r="A37" s="7"/>
      <x:c r="B37" s="7"/>
      <x:c r="C37" s="7"/>
      <x:c r="D37" s="18"/>
      <x:c r="E37" s="18"/>
      <x:c r="F37" s="19"/>
      <x:c r="G37" s="8"/>
      <x:c r="H37" s="8"/>
      <x:c r="I37" s="7"/>
      <x:c r="J37" s="7"/>
      <x:c r="K37" s="4" t="str">
        <x:f>IFERROR(IF(A37="","",IF(OR(H37&lt;&gt;"",G37&lt;&gt;""),MAX(0,Overview!$B$4-IF(H37&lt;&gt;"",H37,G37)),0)),"")</x:f>
      </x:c>
      <x:c r="L37" s="4" t="str">
        <x:f>IFERROR(IF(A37="","",IF(E37&gt;D37,"Over-received",IF(I37="Closed",IF(F37&gt;0,"Closed with open qty","Closed"),IF(F37=0,"Received",IF(K37&gt;0,"Overdue",IF(H37="","Missing ETA","Open / on track")))))),"")</x:f>
      </x:c>
    </x:row>
    <x:row r="38">
      <x:c r="A38" s="7"/>
      <x:c r="B38" s="7"/>
      <x:c r="C38" s="7"/>
      <x:c r="D38" s="18"/>
      <x:c r="E38" s="18"/>
      <x:c r="F38" s="19"/>
      <x:c r="G38" s="8"/>
      <x:c r="H38" s="8"/>
      <x:c r="I38" s="7"/>
      <x:c r="J38" s="7"/>
      <x:c r="K38" s="4" t="str">
        <x:f>IFERROR(IF(A38="","",IF(OR(H38&lt;&gt;"",G38&lt;&gt;""),MAX(0,Overview!$B$4-IF(H38&lt;&gt;"",H38,G38)),0)),"")</x:f>
      </x:c>
      <x:c r="L38" s="4" t="str">
        <x:f>IFERROR(IF(A38="","",IF(E38&gt;D38,"Over-received",IF(I38="Closed",IF(F38&gt;0,"Closed with open qty","Closed"),IF(F38=0,"Received",IF(K38&gt;0,"Overdue",IF(H38="","Missing ETA","Open / on track")))))),"")</x:f>
      </x:c>
    </x:row>
    <x:row r="39">
      <x:c r="A39" s="7"/>
      <x:c r="B39" s="7"/>
      <x:c r="C39" s="7"/>
      <x:c r="D39" s="18"/>
      <x:c r="E39" s="18"/>
      <x:c r="F39" s="19"/>
      <x:c r="G39" s="8"/>
      <x:c r="H39" s="8"/>
      <x:c r="I39" s="7"/>
      <x:c r="J39" s="7"/>
      <x:c r="K39" s="4" t="str">
        <x:f>IFERROR(IF(A39="","",IF(OR(H39&lt;&gt;"",G39&lt;&gt;""),MAX(0,Overview!$B$4-IF(H39&lt;&gt;"",H39,G39)),0)),"")</x:f>
      </x:c>
      <x:c r="L39" s="4" t="str">
        <x:f>IFERROR(IF(A39="","",IF(E39&gt;D39,"Over-received",IF(I39="Closed",IF(F39&gt;0,"Closed with open qty","Closed"),IF(F39=0,"Received",IF(K39&gt;0,"Overdue",IF(H39="","Missing ETA","Open / on track")))))),"")</x:f>
      </x:c>
    </x:row>
    <x:row r="40">
      <x:c r="A40" s="7"/>
      <x:c r="B40" s="7"/>
      <x:c r="C40" s="7"/>
      <x:c r="D40" s="18"/>
      <x:c r="E40" s="18"/>
      <x:c r="F40" s="19"/>
      <x:c r="G40" s="8"/>
      <x:c r="H40" s="8"/>
      <x:c r="I40" s="7"/>
      <x:c r="J40" s="7"/>
      <x:c r="K40" s="4" t="str">
        <x:f>IFERROR(IF(A40="","",IF(OR(H40&lt;&gt;"",G40&lt;&gt;""),MAX(0,Overview!$B$4-IF(H40&lt;&gt;"",H40,G40)),0)),"")</x:f>
      </x:c>
      <x:c r="L40" s="4" t="str">
        <x:f>IFERROR(IF(A40="","",IF(E40&gt;D40,"Over-received",IF(I40="Closed",IF(F40&gt;0,"Closed with open qty","Closed"),IF(F40=0,"Received",IF(K40&gt;0,"Overdue",IF(H40="","Missing ETA","Open / on track")))))),"")</x:f>
      </x:c>
    </x:row>
    <x:row r="41">
      <x:c r="A41" s="7"/>
      <x:c r="B41" s="7"/>
      <x:c r="C41" s="7"/>
      <x:c r="D41" s="18"/>
      <x:c r="E41" s="18"/>
      <x:c r="F41" s="19"/>
      <x:c r="G41" s="8"/>
      <x:c r="H41" s="8"/>
      <x:c r="I41" s="7"/>
      <x:c r="J41" s="7"/>
      <x:c r="K41" s="4" t="str">
        <x:f>IFERROR(IF(A41="","",IF(OR(H41&lt;&gt;"",G41&lt;&gt;""),MAX(0,Overview!$B$4-IF(H41&lt;&gt;"",H41,G41)),0)),"")</x:f>
      </x:c>
      <x:c r="L41" s="4" t="str">
        <x:f>IFERROR(IF(A41="","",IF(E41&gt;D41,"Over-received",IF(I41="Closed",IF(F41&gt;0,"Closed with open qty","Closed"),IF(F41=0,"Received",IF(K41&gt;0,"Overdue",IF(H41="","Missing ETA","Open / on track")))))),"")</x:f>
      </x:c>
    </x:row>
    <x:row r="42">
      <x:c r="A42" s="7"/>
      <x:c r="B42" s="7"/>
      <x:c r="C42" s="7"/>
      <x:c r="D42" s="18"/>
      <x:c r="E42" s="18"/>
      <x:c r="F42" s="19"/>
      <x:c r="G42" s="8"/>
      <x:c r="H42" s="8"/>
      <x:c r="I42" s="7"/>
      <x:c r="J42" s="7"/>
      <x:c r="K42" s="4" t="str">
        <x:f>IFERROR(IF(A42="","",IF(OR(H42&lt;&gt;"",G42&lt;&gt;""),MAX(0,Overview!$B$4-IF(H42&lt;&gt;"",H42,G42)),0)),"")</x:f>
      </x:c>
      <x:c r="L42" s="4" t="str">
        <x:f>IFERROR(IF(A42="","",IF(E42&gt;D42,"Over-received",IF(I42="Closed",IF(F42&gt;0,"Closed with open qty","Closed"),IF(F42=0,"Received",IF(K42&gt;0,"Overdue",IF(H42="","Missing ETA","Open / on track")))))),"")</x:f>
      </x:c>
    </x:row>
    <x:row r="43">
      <x:c r="A43" s="7"/>
      <x:c r="B43" s="7"/>
      <x:c r="C43" s="7"/>
      <x:c r="D43" s="18"/>
      <x:c r="E43" s="18"/>
      <x:c r="F43" s="19"/>
      <x:c r="G43" s="8"/>
      <x:c r="H43" s="8"/>
      <x:c r="I43" s="7"/>
      <x:c r="J43" s="7"/>
      <x:c r="K43" s="4" t="str">
        <x:f>IFERROR(IF(A43="","",IF(OR(H43&lt;&gt;"",G43&lt;&gt;""),MAX(0,Overview!$B$4-IF(H43&lt;&gt;"",H43,G43)),0)),"")</x:f>
      </x:c>
      <x:c r="L43" s="4" t="str">
        <x:f>IFERROR(IF(A43="","",IF(E43&gt;D43,"Over-received",IF(I43="Closed",IF(F43&gt;0,"Closed with open qty","Closed"),IF(F43=0,"Received",IF(K43&gt;0,"Overdue",IF(H43="","Missing ETA","Open / on track")))))),"")</x:f>
      </x:c>
    </x:row>
    <x:row r="44">
      <x:c r="A44" s="7"/>
      <x:c r="B44" s="7"/>
      <x:c r="C44" s="7"/>
      <x:c r="D44" s="18"/>
      <x:c r="E44" s="18"/>
      <x:c r="F44" s="19"/>
      <x:c r="G44" s="8"/>
      <x:c r="H44" s="8"/>
      <x:c r="I44" s="7"/>
      <x:c r="J44" s="7"/>
      <x:c r="K44" s="4" t="str">
        <x:f>IFERROR(IF(A44="","",IF(OR(H44&lt;&gt;"",G44&lt;&gt;""),MAX(0,Overview!$B$4-IF(H44&lt;&gt;"",H44,G44)),0)),"")</x:f>
      </x:c>
      <x:c r="L44" s="4" t="str">
        <x:f>IFERROR(IF(A44="","",IF(E44&gt;D44,"Over-received",IF(I44="Closed",IF(F44&gt;0,"Closed with open qty","Closed"),IF(F44=0,"Received",IF(K44&gt;0,"Overdue",IF(H44="","Missing ETA","Open / on track")))))),"")</x:f>
      </x:c>
    </x:row>
    <x:row r="45">
      <x:c r="A45" s="7"/>
      <x:c r="B45" s="7"/>
      <x:c r="C45" s="7"/>
      <x:c r="D45" s="18"/>
      <x:c r="E45" s="18"/>
      <x:c r="F45" s="19"/>
      <x:c r="G45" s="8"/>
      <x:c r="H45" s="8"/>
      <x:c r="I45" s="7"/>
      <x:c r="J45" s="7"/>
      <x:c r="K45" s="4" t="str">
        <x:f>IFERROR(IF(A45="","",IF(OR(H45&lt;&gt;"",G45&lt;&gt;""),MAX(0,Overview!$B$4-IF(H45&lt;&gt;"",H45,G45)),0)),"")</x:f>
      </x:c>
      <x:c r="L45" s="4" t="str">
        <x:f>IFERROR(IF(A45="","",IF(E45&gt;D45,"Over-received",IF(I45="Closed",IF(F45&gt;0,"Closed with open qty","Closed"),IF(F45=0,"Received",IF(K45&gt;0,"Overdue",IF(H45="","Missing ETA","Open / on track")))))),"")</x:f>
      </x:c>
    </x:row>
    <x:row r="46">
      <x:c r="A46" s="7"/>
      <x:c r="B46" s="7"/>
      <x:c r="C46" s="7"/>
      <x:c r="D46" s="18"/>
      <x:c r="E46" s="18"/>
      <x:c r="F46" s="19"/>
      <x:c r="G46" s="8"/>
      <x:c r="H46" s="8"/>
      <x:c r="I46" s="7"/>
      <x:c r="J46" s="7"/>
      <x:c r="K46" s="4" t="str">
        <x:f>IFERROR(IF(A46="","",IF(OR(H46&lt;&gt;"",G46&lt;&gt;""),MAX(0,Overview!$B$4-IF(H46&lt;&gt;"",H46,G46)),0)),"")</x:f>
      </x:c>
      <x:c r="L46" s="4" t="str">
        <x:f>IFERROR(IF(A46="","",IF(E46&gt;D46,"Over-received",IF(I46="Closed",IF(F46&gt;0,"Closed with open qty","Closed"),IF(F46=0,"Received",IF(K46&gt;0,"Overdue",IF(H46="","Missing ETA","Open / on track")))))),"")</x:f>
      </x:c>
    </x:row>
    <x:row r="47">
      <x:c r="A47" s="7"/>
      <x:c r="B47" s="7"/>
      <x:c r="C47" s="7"/>
      <x:c r="D47" s="18"/>
      <x:c r="E47" s="18"/>
      <x:c r="F47" s="19"/>
      <x:c r="G47" s="8"/>
      <x:c r="H47" s="8"/>
      <x:c r="I47" s="7"/>
      <x:c r="J47" s="7"/>
      <x:c r="K47" s="4" t="str">
        <x:f>IFERROR(IF(A47="","",IF(OR(H47&lt;&gt;"",G47&lt;&gt;""),MAX(0,Overview!$B$4-IF(H47&lt;&gt;"",H47,G47)),0)),"")</x:f>
      </x:c>
      <x:c r="L47" s="4" t="str">
        <x:f>IFERROR(IF(A47="","",IF(E47&gt;D47,"Over-received",IF(I47="Closed",IF(F47&gt;0,"Closed with open qty","Closed"),IF(F47=0,"Received",IF(K47&gt;0,"Overdue",IF(H47="","Missing ETA","Open / on track")))))),"")</x:f>
      </x:c>
    </x:row>
    <x:row r="48">
      <x:c r="A48" s="7"/>
      <x:c r="B48" s="7"/>
      <x:c r="C48" s="7"/>
      <x:c r="D48" s="18"/>
      <x:c r="E48" s="18"/>
      <x:c r="F48" s="19"/>
      <x:c r="G48" s="8"/>
      <x:c r="H48" s="8"/>
      <x:c r="I48" s="7"/>
      <x:c r="J48" s="7"/>
      <x:c r="K48" s="4" t="str">
        <x:f>IFERROR(IF(A48="","",IF(OR(H48&lt;&gt;"",G48&lt;&gt;""),MAX(0,Overview!$B$4-IF(H48&lt;&gt;"",H48,G48)),0)),"")</x:f>
      </x:c>
      <x:c r="L48" s="4" t="str">
        <x:f>IFERROR(IF(A48="","",IF(E48&gt;D48,"Over-received",IF(I48="Closed",IF(F48&gt;0,"Closed with open qty","Closed"),IF(F48=0,"Received",IF(K48&gt;0,"Overdue",IF(H48="","Missing ETA","Open / on track")))))),"")</x:f>
      </x:c>
    </x:row>
    <x:row r="49">
      <x:c r="A49" s="7"/>
      <x:c r="B49" s="7"/>
      <x:c r="C49" s="7"/>
      <x:c r="D49" s="18"/>
      <x:c r="E49" s="18"/>
      <x:c r="F49" s="19"/>
      <x:c r="G49" s="8"/>
      <x:c r="H49" s="8"/>
      <x:c r="I49" s="7"/>
      <x:c r="J49" s="7"/>
      <x:c r="K49" s="4" t="str">
        <x:f>IFERROR(IF(A49="","",IF(OR(H49&lt;&gt;"",G49&lt;&gt;""),MAX(0,Overview!$B$4-IF(H49&lt;&gt;"",H49,G49)),0)),"")</x:f>
      </x:c>
      <x:c r="L49" s="4" t="str">
        <x:f>IFERROR(IF(A49="","",IF(E49&gt;D49,"Over-received",IF(I49="Closed",IF(F49&gt;0,"Closed with open qty","Closed"),IF(F49=0,"Received",IF(K49&gt;0,"Overdue",IF(H49="","Missing ETA","Open / on track")))))),"")</x:f>
      </x:c>
    </x:row>
    <x:row r="50">
      <x:c r="A50" s="7"/>
      <x:c r="B50" s="7"/>
      <x:c r="C50" s="7"/>
      <x:c r="D50" s="18"/>
      <x:c r="E50" s="18"/>
      <x:c r="F50" s="19"/>
      <x:c r="G50" s="8"/>
      <x:c r="H50" s="8"/>
      <x:c r="I50" s="7"/>
      <x:c r="J50" s="7"/>
      <x:c r="K50" s="4" t="str">
        <x:f>IFERROR(IF(A50="","",IF(OR(H50&lt;&gt;"",G50&lt;&gt;""),MAX(0,Overview!$B$4-IF(H50&lt;&gt;"",H50,G50)),0)),"")</x:f>
      </x:c>
      <x:c r="L50" s="4" t="str">
        <x:f>IFERROR(IF(A50="","",IF(E50&gt;D50,"Over-received",IF(I50="Closed",IF(F50&gt;0,"Closed with open qty","Closed"),IF(F50=0,"Received",IF(K50&gt;0,"Overdue",IF(H50="","Missing ETA","Open / on track")))))),"")</x:f>
      </x:c>
    </x:row>
    <x:row r="51">
      <x:c r="A51" s="7"/>
      <x:c r="B51" s="7"/>
      <x:c r="C51" s="7"/>
      <x:c r="D51" s="18"/>
      <x:c r="E51" s="18"/>
      <x:c r="F51" s="19"/>
      <x:c r="G51" s="8"/>
      <x:c r="H51" s="8"/>
      <x:c r="I51" s="7"/>
      <x:c r="J51" s="7"/>
      <x:c r="K51" s="4" t="str">
        <x:f>IFERROR(IF(A51="","",IF(OR(H51&lt;&gt;"",G51&lt;&gt;""),MAX(0,Overview!$B$4-IF(H51&lt;&gt;"",H51,G51)),0)),"")</x:f>
      </x:c>
      <x:c r="L51" s="4" t="str">
        <x:f>IFERROR(IF(A51="","",IF(E51&gt;D51,"Over-received",IF(I51="Closed",IF(F51&gt;0,"Closed with open qty","Closed"),IF(F51=0,"Received",IF(K51&gt;0,"Overdue",IF(H51="","Missing ETA","Open / on track")))))),"")</x:f>
      </x:c>
    </x:row>
    <x:row r="52">
      <x:c r="A52" s="7"/>
      <x:c r="B52" s="7"/>
      <x:c r="C52" s="7"/>
      <x:c r="D52" s="18"/>
      <x:c r="E52" s="18"/>
      <x:c r="F52" s="19"/>
      <x:c r="G52" s="8"/>
      <x:c r="H52" s="8"/>
      <x:c r="I52" s="7"/>
      <x:c r="J52" s="7"/>
      <x:c r="K52" s="4" t="str">
        <x:f>IFERROR(IF(A52="","",IF(OR(H52&lt;&gt;"",G52&lt;&gt;""),MAX(0,Overview!$B$4-IF(H52&lt;&gt;"",H52,G52)),0)),"")</x:f>
      </x:c>
      <x:c r="L52" s="4" t="str">
        <x:f>IFERROR(IF(A52="","",IF(E52&gt;D52,"Over-received",IF(I52="Closed",IF(F52&gt;0,"Closed with open qty","Closed"),IF(F52=0,"Received",IF(K52&gt;0,"Overdue",IF(H52="","Missing ETA","Open / on track")))))),"")</x:f>
      </x:c>
    </x:row>
    <x:row r="53">
      <x:c r="A53" s="7"/>
      <x:c r="B53" s="7"/>
      <x:c r="C53" s="7"/>
      <x:c r="D53" s="18"/>
      <x:c r="E53" s="18"/>
      <x:c r="F53" s="19"/>
      <x:c r="G53" s="8"/>
      <x:c r="H53" s="8"/>
      <x:c r="I53" s="7"/>
      <x:c r="J53" s="7"/>
      <x:c r="K53" s="4" t="str">
        <x:f>IFERROR(IF(A53="","",IF(OR(H53&lt;&gt;"",G53&lt;&gt;""),MAX(0,Overview!$B$4-IF(H53&lt;&gt;"",H53,G53)),0)),"")</x:f>
      </x:c>
      <x:c r="L53" s="4" t="str">
        <x:f>IFERROR(IF(A53="","",IF(E53&gt;D53,"Over-received",IF(I53="Closed",IF(F53&gt;0,"Closed with open qty","Closed"),IF(F53=0,"Received",IF(K53&gt;0,"Overdue",IF(H53="","Missing ETA","Open / on track")))))),"")</x:f>
      </x:c>
    </x:row>
    <x:row r="54">
      <x:c r="A54" s="7"/>
      <x:c r="B54" s="7"/>
      <x:c r="C54" s="7"/>
      <x:c r="D54" s="18"/>
      <x:c r="E54" s="18"/>
      <x:c r="F54" s="19"/>
      <x:c r="G54" s="8"/>
      <x:c r="H54" s="8"/>
      <x:c r="I54" s="7"/>
      <x:c r="J54" s="7"/>
      <x:c r="K54" s="4" t="str">
        <x:f>IFERROR(IF(A54="","",IF(OR(H54&lt;&gt;"",G54&lt;&gt;""),MAX(0,Overview!$B$4-IF(H54&lt;&gt;"",H54,G54)),0)),"")</x:f>
      </x:c>
      <x:c r="L54" s="4" t="str">
        <x:f>IFERROR(IF(A54="","",IF(E54&gt;D54,"Over-received",IF(I54="Closed",IF(F54&gt;0,"Closed with open qty","Closed"),IF(F54=0,"Received",IF(K54&gt;0,"Overdue",IF(H54="","Missing ETA","Open / on track")))))),"")</x:f>
      </x:c>
    </x:row>
    <x:row r="55">
      <x:c r="A55" s="7"/>
      <x:c r="B55" s="7"/>
      <x:c r="C55" s="7"/>
      <x:c r="D55" s="18"/>
      <x:c r="E55" s="18"/>
      <x:c r="F55" s="19"/>
      <x:c r="G55" s="8"/>
      <x:c r="H55" s="8"/>
      <x:c r="I55" s="7"/>
      <x:c r="J55" s="7"/>
      <x:c r="K55" s="4" t="str">
        <x:f>IFERROR(IF(A55="","",IF(OR(H55&lt;&gt;"",G55&lt;&gt;""),MAX(0,Overview!$B$4-IF(H55&lt;&gt;"",H55,G55)),0)),"")</x:f>
      </x:c>
      <x:c r="L55" s="4" t="str">
        <x:f>IFERROR(IF(A55="","",IF(E55&gt;D55,"Over-received",IF(I55="Closed",IF(F55&gt;0,"Closed with open qty","Closed"),IF(F55=0,"Received",IF(K55&gt;0,"Overdue",IF(H55="","Missing ETA","Open / on track")))))),"")</x:f>
      </x:c>
    </x:row>
    <x:row r="56">
      <x:c r="A56" s="7"/>
      <x:c r="B56" s="7"/>
      <x:c r="C56" s="7"/>
      <x:c r="D56" s="18"/>
      <x:c r="E56" s="18"/>
      <x:c r="F56" s="19"/>
      <x:c r="G56" s="8"/>
      <x:c r="H56" s="8"/>
      <x:c r="I56" s="7"/>
      <x:c r="J56" s="7"/>
      <x:c r="K56" s="4" t="str">
        <x:f>IFERROR(IF(A56="","",IF(OR(H56&lt;&gt;"",G56&lt;&gt;""),MAX(0,Overview!$B$4-IF(H56&lt;&gt;"",H56,G56)),0)),"")</x:f>
      </x:c>
      <x:c r="L56" s="4" t="str">
        <x:f>IFERROR(IF(A56="","",IF(E56&gt;D56,"Over-received",IF(I56="Closed",IF(F56&gt;0,"Closed with open qty","Closed"),IF(F56=0,"Received",IF(K56&gt;0,"Overdue",IF(H56="","Missing ETA","Open / on track")))))),"")</x:f>
      </x:c>
    </x:row>
    <x:row r="57">
      <x:c r="A57" s="7"/>
      <x:c r="B57" s="7"/>
      <x:c r="C57" s="7"/>
      <x:c r="D57" s="18"/>
      <x:c r="E57" s="18"/>
      <x:c r="F57" s="19"/>
      <x:c r="G57" s="8"/>
      <x:c r="H57" s="8"/>
      <x:c r="I57" s="7"/>
      <x:c r="J57" s="7"/>
      <x:c r="K57" s="4" t="str">
        <x:f>IFERROR(IF(A57="","",IF(OR(H57&lt;&gt;"",G57&lt;&gt;""),MAX(0,Overview!$B$4-IF(H57&lt;&gt;"",H57,G57)),0)),"")</x:f>
      </x:c>
      <x:c r="L57" s="4" t="str">
        <x:f>IFERROR(IF(A57="","",IF(E57&gt;D57,"Over-received",IF(I57="Closed",IF(F57&gt;0,"Closed with open qty","Closed"),IF(F57=0,"Received",IF(K57&gt;0,"Overdue",IF(H57="","Missing ETA","Open / on track")))))),"")</x:f>
      </x:c>
    </x:row>
  </x:sheetData>
  <x:mergeCells>
    <x:mergeCell ref="A2:L2"/>
    <x:mergeCell ref="A4:L4"/>
  </x:mergeCells>
  <x:conditionalFormatting sqref="L8:L57">
    <x:cfRule type="containsText" dxfId="0" priority="1" operator="containsText" text="Overdue"/>
    <x:cfRule type="containsText" dxfId="1" priority="2" operator="containsText" text="Missing ETA"/>
  </x:conditionalFormatting>
  <x:dataValidations count="1">
    <x:dataValidation type="list" sqref="I8:I57">
      <x:formula1>"Open,At supplier,In transit,Part received,Closed,On hold"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5" hidden="0" customWidth="1"/>
  </x:cols>
  <x:sheetData>
    <x:row r="1">
      <x:c r="A1" s="1"/>
      <x:c r="B1" s="1"/>
    </x:row>
    <x:row r="2">
      <x:c r="A2" s="3" t="str">
        <x:v>How to Run the Review</x:v>
      </x:c>
      <x:c r="B2" s="3"/>
    </x:row>
    <x:row r="3">
      <x:c r="A3" s="1"/>
      <x:c r="B3" s="1"/>
    </x:row>
    <x:row r="4" ht="32" customHeight="1">
      <x:c r="A4" s="6" t="str">
        <x:v>1. Paste data</x:v>
      </x:c>
      <x:c r="B4" s="9" t="str">
        <x:v>Replace illustrative sample rows; keep one row per PO line and add records in yellow input columns.</x:v>
      </x:c>
    </x:row>
    <x:row r="5" ht="32" customHeight="1">
      <x:c r="A5" s="6" t="str">
        <x:v>2. Set as-of date</x:v>
      </x:c>
      <x:c r="B5" s="9" t="str">
        <x:v>Change the review date on Overview before reviewing lateness.</x:v>
      </x:c>
    </x:row>
    <x:row r="6" ht="32" customHeight="1">
      <x:c r="A6" s="6" t="str">
        <x:v>3. Update ETA</x:v>
      </x:c>
      <x:c r="B6" s="9" t="str">
        <x:v>Use the latest date confirmed by the supplier or forwarder.</x:v>
      </x:c>
    </x:row>
    <x:row r="7" ht="32" customHeight="1">
      <x:c r="A7" s="6" t="str">
        <x:v>4. Filter Action</x:v>
      </x:c>
      <x:c r="B7" s="9" t="str">
        <x:v>Work overdue, quantity/status conflicts, and missing-ETA lines first.</x:v>
      </x:c>
    </x:row>
    <x:row r="8" ht="32" customHeight="1">
      <x:c r="A8" s="6" t="str">
        <x:v>Important</x:v>
      </x:c>
      <x:c r="B8" s="9" t="str">
        <x:v>This is a file-based exception list. It does not connect to an ERP, provide live milestones, or send alerts.</x:v>
      </x:c>
    </x:row>
  </x:sheetData>
  <x:mergeCells>
    <x:mergeCell ref="A2:B2"/>
  </x:mergeCells>
  <x:pageMargins left="0.7" right="0.7" top="0.75" bottom="0.75" header="0.3" footer="0.3"/>
</x:worksheet>
</file>