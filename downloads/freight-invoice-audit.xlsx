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57c8f5f0f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53ffd47d8e42c2"/>
    <x:sheet xmlns:r="http://schemas.openxmlformats.org/officeDocument/2006/relationships" name="Audit" sheetId="2" r:id="R59d0543732af447d"/>
    <x:sheet xmlns:r="http://schemas.openxmlformats.org/officeDocument/2006/relationships" name="Read me" sheetId="3" r:id="R878636e93b34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#,##0.00"/>
    <x:numFmt numFmtId="202" formatCode="0.0%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53A5B"/>
      <x:name val="Arial"/>
    </x:font>
    <x:font>
      <x:b/>
      <x:sz val="10"/>
      <x:color rgb="FF153A5B"/>
      <x:name val="Arial"/>
    </x:font>
    <x:font>
      <x:i/>
      <x:sz val="9"/>
      <x:color rgb="FF526173"/>
      <x:name val="Arial"/>
    </x:font>
    <x:font>
      <x:b/>
      <x:i/>
      <x:sz val="10"/>
      <x:color rgb="FF153A5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0B5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/>
    <x:xf numFmtId="200" fontId="1" fillId="2" borderId="0" xfId="0" applyNumberFormat="1" applyFont="1" applyFill="1" applyBorder="1"/>
    <x:xf numFmtId="202" fontId="1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1a05320b341ec" /><Relationship Type="http://schemas.openxmlformats.org/officeDocument/2006/relationships/theme" Target="/xl/theme/theme1.xml" Id="R5f4cdafbcf174b85" /><Relationship Type="http://schemas.openxmlformats.org/officeDocument/2006/relationships/sharedStrings" Target="/xl/sharedStrings.xml" Id="Rbe7e839457b343c5" /><Relationship Type="http://schemas.openxmlformats.org/officeDocument/2006/relationships/worksheet" Target="/xl/worksheets/sheet1.xml" Id="Rd153ffd47d8e42c2" /><Relationship Type="http://schemas.openxmlformats.org/officeDocument/2006/relationships/worksheet" Target="/xl/worksheets/sheet2.xml" Id="R59d0543732af447d" /><Relationship Type="http://schemas.openxmlformats.org/officeDocument/2006/relationships/worksheet" Target="/xl/worksheets/sheet3.xml" Id="R878636e93b34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5" hidden="0" customWidth="1"/>
    <x:col min="3" max="3" width="16" hidden="0" customWidth="1"/>
    <x:col min="4" max="4" width="16" hidden="0" customWidth="1"/>
  </x:cols>
  <x:sheetData>
    <x:row r="1">
      <x:c r="A1" s="1"/>
      <x:c r="B1" s="1"/>
      <x:c r="C1" s="1"/>
      <x:c r="D1" s="1"/>
    </x:row>
    <x:row r="2">
      <x:c r="A2" s="3" t="str">
        <x:v>Freight Invoice Audit</x:v>
      </x:c>
      <x:c r="B2" s="3"/>
      <x:c r="C2" s="3"/>
      <x:c r="D2" s="3"/>
    </x:row>
    <x:row r="3">
      <x:c r="A3" s="1"/>
      <x:c r="B3" s="1"/>
      <x:c r="C3" s="1"/>
      <x:c r="D3" s="1"/>
    </x:row>
    <x:row r="4">
      <x:c r="A4" s="12" t="str">
        <x:v>Display currency</x:v>
      </x:c>
      <x:c r="B4" s="13" t="str">
        <x:v>USD</x:v>
      </x:c>
      <x:c r="C4" s="1"/>
      <x:c r="D4" s="1"/>
    </x:row>
    <x:row r="5">
      <x:c r="A5" s="12" t="str">
        <x:v>Variance tolerance</x:v>
      </x:c>
      <x:c r="B5" s="14" t="n">
        <x:v>1</x:v>
      </x:c>
      <x:c r="C5" s="1"/>
      <x:c r="D5" s="1"/>
    </x:row>
    <x:row r="6">
      <x:c r="A6" s="1"/>
      <x:c r="B6" s="1"/>
      <x:c r="C6" s="1"/>
      <x:c r="D6" s="1"/>
    </x:row>
    <x:row r="7">
      <x:c r="A7" s="1"/>
      <x:c r="B7" s="1"/>
      <x:c r="C7" s="1"/>
      <x:c r="D7" s="1"/>
    </x:row>
    <x:row r="8">
      <x:c r="A8" s="5" t="str">
        <x:v>Quoted total</x:v>
      </x:c>
      <x:c r="B8" s="6" t="n">
        <x:f>SUMIFS(Audit!E8:E57,Audit!I8:I57,"&lt;&gt;Incomplete line",Audit!I8:I57,"&lt;&gt;")</x:f>
        <x:v>1570</x:v>
      </x:c>
      <x:c r="C8" s="1"/>
      <x:c r="D8" s="1"/>
    </x:row>
    <x:row r="9">
      <x:c r="A9" s="5" t="str">
        <x:v>Invoiced total</x:v>
      </x:c>
      <x:c r="B9" s="6" t="n">
        <x:f>SUMIFS(Audit!F8:F57,Audit!I8:I57,"&lt;&gt;Incomplete line",Audit!I8:I57,"&lt;&gt;")</x:f>
        <x:v>1625</x:v>
      </x:c>
      <x:c r="C9" s="1"/>
      <x:c r="D9" s="1"/>
    </x:row>
    <x:row r="10">
      <x:c r="A10" s="5" t="str">
        <x:v>Net variance</x:v>
      </x:c>
      <x:c r="B10" s="6" t="n">
        <x:f>B9-B8</x:f>
        <x:v>55</x:v>
      </x:c>
      <x:c r="C10" s="1"/>
      <x:c r="D10" s="1"/>
    </x:row>
    <x:row r="11">
      <x:c r="A11" s="5" t="str">
        <x:v>Invoice higher lines</x:v>
      </x:c>
      <x:c r="B11" s="1" t="n">
        <x:f>COUNTIF(Audit!I8:I57,"Invoice higher")</x:f>
        <x:v>2</x:v>
      </x:c>
      <x:c r="C11" s="1"/>
      <x:c r="D11" s="1"/>
    </x:row>
    <x:row r="12">
      <x:c r="A12" s="5" t="str">
        <x:v>Invoice lower lines</x:v>
      </x:c>
      <x:c r="B12" s="1" t="n">
        <x:f>COUNTIF(Audit!I8:I57,"Invoice lower")</x:f>
        <x:v>1</x:v>
      </x:c>
      <x:c r="C12" s="1"/>
      <x:c r="D12" s="1"/>
    </x:row>
    <x:row r="13">
      <x:c r="A13" s="5" t="str">
        <x:v>Incomplete lines</x:v>
      </x:c>
      <x:c r="B13" s="1" t="n">
        <x:f>COUNTIF(Audit!I8:I57,"Incomplete line")</x:f>
        <x:v>1</x:v>
      </x:c>
      <x:c r="C13" s="1"/>
      <x:c r="D13" s="1"/>
    </x:row>
    <x:row r="14">
      <x:c r="A14" s="1"/>
      <x:c r="B14" s="1"/>
      <x:c r="C14" s="1"/>
      <x:c r="D14" s="1"/>
    </x:row>
    <x:row r="15">
      <x:c r="A15" s="11" t="str">
        <x:v>How to read it</x:v>
      </x:c>
      <x:c r="B15" s="10" t="str">
        <x:v>Filter Audit by Review status and investigate higher charges against the quote and contract.</x:v>
      </x:c>
      <x:c r="C15" s="1"/>
      <x:c r="D15" s="1"/>
    </x:row>
    <x:row r="16">
      <x:c r="A16" s="11" t="str">
        <x:v>Input key</x:v>
      </x:c>
      <x:c r="B16" s="10" t="str">
        <x:v>Yellow cells are editable; blue cells calculate from entered line data.</x:v>
      </x:c>
      <x:c r="C16" s="1"/>
      <x:c r="D16" s="1"/>
    </x:row>
    <x:row r="17">
      <x:c r="A17" s="11" t="str">
        <x:v>Scope</x:v>
      </x:c>
      <x:c r="B17" s="10" t="str">
        <x:v>Use one currency and comparable charge codes; this flags variances for review, not confirmed billing errors.</x:v>
      </x:c>
      <x:c r="C17" s="1"/>
      <x:c r="D17" s="1"/>
    </x:row>
    <x:row r="18">
      <x:c r="A18" s="1"/>
      <x:c r="B18" s="1"/>
      <x:c r="C18" s="1"/>
      <x:c r="D18" s="1"/>
    </x:row>
  </x:sheetData>
  <x:mergeCells>
    <x:mergeCell ref="A2:D2"/>
  </x:mergeCells>
  <x:dataValidations count="1">
    <x:dataValidation type="list" sqref="B4">
      <x:formula1>"USD,INR,EUR,GBP,AED,CAD,AUD"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Quote vs Invoice Line Review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0" t="str">
        <x:v>Replace sample lines with one row per shipment and charge code. Use the same ID and code on the quote and invoice.</x:v>
      </x:c>
      <x:c r="B4" s="10"/>
      <x:c r="C4" s="10"/>
      <x:c r="D4" s="10"/>
      <x:c r="E4" s="10"/>
      <x:c r="F4" s="10"/>
      <x:c r="G4" s="10"/>
      <x:c r="H4" s="10"/>
      <x:c r="I4" s="10"/>
      <x:c r="J4" s="10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32" customHeight="1">
      <x:c r="A7" s="18" t="str">
        <x:v>Shipment ID</x:v>
      </x:c>
      <x:c r="B7" s="18" t="str">
        <x:v>Invoice #</x:v>
      </x:c>
      <x:c r="C7" s="18" t="str">
        <x:v>Carrier / Vendor</x:v>
      </x:c>
      <x:c r="D7" s="18" t="str">
        <x:v>Charge code</x:v>
      </x:c>
      <x:c r="E7" s="18" t="str">
        <x:v>Quoted amount</x:v>
      </x:c>
      <x:c r="F7" s="18" t="str">
        <x:v>Invoiced amount</x:v>
      </x:c>
      <x:c r="G7" s="18" t="str">
        <x:v>Variance</x:v>
      </x:c>
      <x:c r="H7" s="18" t="str">
        <x:v>Variance %</x:v>
      </x:c>
      <x:c r="I7" s="18" t="str">
        <x:v>Review status</x:v>
      </x:c>
      <x:c r="J7" s="18" t="str">
        <x:v>Notes / action</x:v>
      </x:c>
    </x:row>
    <x:row r="8">
      <x:c r="A8" s="13" t="str">
        <x:v>FK-26001</x:v>
      </x:c>
      <x:c r="B8" s="13" t="str">
        <x:v>INV-1042</x:v>
      </x:c>
      <x:c r="C8" s="13" t="str">
        <x:v>Northstar Freight</x:v>
      </x:c>
      <x:c r="D8" s="13" t="str">
        <x:v>Base freight</x:v>
      </x:c>
      <x:c r="E8" s="19" t="n">
        <x:v>1250</x:v>
      </x:c>
      <x:c r="F8" s="19" t="n">
        <x:v>1285</x:v>
      </x:c>
      <x:c r="G8" s="20" t="n">
        <x:f>IF(COUNT(E8:F8)&lt;2,"",F8-E8)</x:f>
        <x:v>35</x:v>
      </x:c>
      <x:c r="H8" s="21" t="n">
        <x:f>IF(COUNT(E8:F8)&lt;2,"",IF(E8=0,"",G8/E8))</x:f>
        <x:v>0.028</x:v>
      </x:c>
      <x:c r="I8" s="4" t="str">
        <x:f>IF(A8="","",IF(COUNT(E8:F8)&lt;2,"Incomplete line",IF(ABS(G8)&lt;=Summary!$B$5,"Within tolerance",IF(G8&gt;0,"Invoice higher","Invoice lower"))))</x:f>
        <x:v>Invoice higher</x:v>
      </x:c>
      <x:c r="J8" s="13" t="str">
        <x:v>Check whether fuel was included in base freight</x:v>
      </x:c>
    </x:row>
    <x:row r="9">
      <x:c r="A9" s="13" t="str">
        <x:v>FK-26001</x:v>
      </x:c>
      <x:c r="B9" s="13" t="str">
        <x:v>INV-1042</x:v>
      </x:c>
      <x:c r="C9" s="13" t="str">
        <x:v>Northstar Freight</x:v>
      </x:c>
      <x:c r="D9" s="13" t="str">
        <x:v>Fuel surcharge</x:v>
      </x:c>
      <x:c r="E9" s="19" t="n">
        <x:v>180</x:v>
      </x:c>
      <x:c r="F9" s="19" t="n">
        <x:v>180</x:v>
      </x:c>
      <x:c r="G9" s="20" t="n">
        <x:f>IF(COUNT(E9:F9)&lt;2,"",F9-E9)</x:f>
        <x:v>0</x:v>
      </x:c>
      <x:c r="H9" s="21" t="n">
        <x:f>IF(COUNT(E9:F9)&lt;2,"",IF(E9=0,"",G9/E9))</x:f>
        <x:v>0</x:v>
      </x:c>
      <x:c r="I9" s="4" t="str">
        <x:f>IF(A9="","",IF(COUNT(E9:F9)&lt;2,"Incomplete line",IF(ABS(G9)&lt;=Summary!$B$5,"Within tolerance",IF(G9&gt;0,"Invoice higher","Invoice lower"))))</x:f>
        <x:v>Within tolerance</x:v>
      </x:c>
      <x:c r="J9" s="13" t="str"/>
    </x:row>
    <x:row r="10">
      <x:c r="A10" s="13" t="str">
        <x:v>FK-26002</x:v>
      </x:c>
      <x:c r="B10" s="13" t="str">
        <x:v>INV-1050</x:v>
      </x:c>
      <x:c r="C10" s="13" t="str">
        <x:v>Blue Harbor Logistics</x:v>
      </x:c>
      <x:c r="D10" s="13" t="str">
        <x:v>Origin handling</x:v>
      </x:c>
      <x:c r="E10" s="19" t="n">
        <x:v>95</x:v>
      </x:c>
      <x:c r="F10" s="19" t="n">
        <x:v>120</x:v>
      </x:c>
      <x:c r="G10" s="20" t="n">
        <x:f>IF(COUNT(E10:F10)&lt;2,"",F10-E10)</x:f>
        <x:v>25</x:v>
      </x:c>
      <x:c r="H10" s="21" t="n">
        <x:f>IF(COUNT(E10:F10)&lt;2,"",IF(E10=0,"",G10/E10))</x:f>
        <x:v>0.2631578947368421</x:v>
      </x:c>
      <x:c r="I10" s="4" t="str">
        <x:f>IF(A10="","",IF(COUNT(E10:F10)&lt;2,"Incomplete line",IF(ABS(G10)&lt;=Summary!$B$5,"Within tolerance",IF(G10&gt;0,"Invoice higher","Invoice lower"))))</x:f>
        <x:v>Invoice higher</x:v>
      </x:c>
      <x:c r="J10" s="13" t="str">
        <x:v>Request itemised backup</x:v>
      </x:c>
    </x:row>
    <x:row r="11">
      <x:c r="A11" s="13" t="str">
        <x:v>FK-26003</x:v>
      </x:c>
      <x:c r="B11" s="13" t="str">
        <x:v>INV-1057</x:v>
      </x:c>
      <x:c r="C11" s="13" t="str">
        <x:v>Northstar Freight</x:v>
      </x:c>
      <x:c r="D11" s="13" t="str">
        <x:v>Documentation</x:v>
      </x:c>
      <x:c r="E11" s="19" t="n">
        <x:v>45</x:v>
      </x:c>
      <x:c r="F11" s="19" t="n">
        <x:v>40</x:v>
      </x:c>
      <x:c r="G11" s="20" t="n">
        <x:f>IF(COUNT(E11:F11)&lt;2,"",F11-E11)</x:f>
        <x:v>-5</x:v>
      </x:c>
      <x:c r="H11" s="21" t="n">
        <x:f>IF(COUNT(E11:F11)&lt;2,"",IF(E11=0,"",G11/E11))</x:f>
        <x:v>-0.1111111111111111</x:v>
      </x:c>
      <x:c r="I11" s="4" t="str">
        <x:f>IF(A11="","",IF(COUNT(E11:F11)&lt;2,"Incomplete line",IF(ABS(G11)&lt;=Summary!$B$5,"Within tolerance",IF(G11&gt;0,"Invoice higher","Invoice lower"))))</x:f>
        <x:v>Invoice lower</x:v>
      </x:c>
      <x:c r="J11" s="13" t="str"/>
    </x:row>
    <x:row r="12">
      <x:c r="A12" s="13" t="str">
        <x:v>FK-26004</x:v>
      </x:c>
      <x:c r="B12" s="13" t="str">
        <x:v>INV-1061</x:v>
      </x:c>
      <x:c r="C12" s="13" t="str">
        <x:v>Blue Harbor Logistics</x:v>
      </x:c>
      <x:c r="D12" s="13" t="str">
        <x:v>Destination delivery</x:v>
      </x:c>
      <x:c r="E12" s="19" t="n">
        <x:v>310</x:v>
      </x:c>
      <x:c r="F12" s="19"/>
      <x:c r="G12" s="20" t="str">
        <x:f>IF(COUNT(E12:F12)&lt;2,"",F12-E12)</x:f>
      </x:c>
      <x:c r="H12" s="21" t="str">
        <x:f>IF(COUNT(E12:F12)&lt;2,"",IF(E12=0,"",G12/E12))</x:f>
      </x:c>
      <x:c r="I12" s="4" t="str">
        <x:f>IF(A12="","",IF(COUNT(E12:F12)&lt;2,"Incomplete line",IF(ABS(G12)&lt;=Summary!$B$5,"Within tolerance",IF(G12&gt;0,"Invoice higher","Invoice lower"))))</x:f>
        <x:v>Incomplete line</x:v>
      </x:c>
      <x:c r="J12" s="13" t="str">
        <x:v>Invoice amount missing</x:v>
      </x:c>
    </x:row>
    <x:row r="13">
      <x:c r="A13" s="13"/>
      <x:c r="B13" s="13"/>
      <x:c r="C13" s="13"/>
      <x:c r="D13" s="13"/>
      <x:c r="E13" s="19"/>
      <x:c r="F13" s="19"/>
      <x:c r="G13" s="20" t="str">
        <x:f>IF(COUNT(E13:F13)&lt;2,"",F13-E13)</x:f>
      </x:c>
      <x:c r="H13" s="21" t="str">
        <x:f>IF(COUNT(E13:F13)&lt;2,"",IF(E13=0,"",G13/E13))</x:f>
      </x:c>
      <x:c r="I13" s="4" t="str">
        <x:f>IF(A13="","",IF(COUNT(E13:F13)&lt;2,"Incomplete line",IF(ABS(G13)&lt;=Summary!$B$5,"Within tolerance",IF(G13&gt;0,"Invoice higher","Invoice lower"))))</x:f>
      </x:c>
      <x:c r="J13" s="13"/>
    </x:row>
    <x:row r="14">
      <x:c r="A14" s="13"/>
      <x:c r="B14" s="13"/>
      <x:c r="C14" s="13"/>
      <x:c r="D14" s="13"/>
      <x:c r="E14" s="19"/>
      <x:c r="F14" s="19"/>
      <x:c r="G14" s="20" t="str">
        <x:f>IF(COUNT(E14:F14)&lt;2,"",F14-E14)</x:f>
      </x:c>
      <x:c r="H14" s="21" t="str">
        <x:f>IF(COUNT(E14:F14)&lt;2,"",IF(E14=0,"",G14/E14))</x:f>
      </x:c>
      <x:c r="I14" s="4" t="str">
        <x:f>IF(A14="","",IF(COUNT(E14:F14)&lt;2,"Incomplete line",IF(ABS(G14)&lt;=Summary!$B$5,"Within tolerance",IF(G14&gt;0,"Invoice higher","Invoice lower"))))</x:f>
      </x:c>
      <x:c r="J14" s="13"/>
    </x:row>
    <x:row r="15">
      <x:c r="A15" s="13"/>
      <x:c r="B15" s="13"/>
      <x:c r="C15" s="13"/>
      <x:c r="D15" s="13"/>
      <x:c r="E15" s="19"/>
      <x:c r="F15" s="19"/>
      <x:c r="G15" s="20" t="str">
        <x:f>IF(COUNT(E15:F15)&lt;2,"",F15-E15)</x:f>
      </x:c>
      <x:c r="H15" s="21" t="str">
        <x:f>IF(COUNT(E15:F15)&lt;2,"",IF(E15=0,"",G15/E15))</x:f>
      </x:c>
      <x:c r="I15" s="4" t="str">
        <x:f>IF(A15="","",IF(COUNT(E15:F15)&lt;2,"Incomplete line",IF(ABS(G15)&lt;=Summary!$B$5,"Within tolerance",IF(G15&gt;0,"Invoice higher","Invoice lower"))))</x:f>
      </x:c>
      <x:c r="J15" s="13"/>
    </x:row>
    <x:row r="16">
      <x:c r="A16" s="13"/>
      <x:c r="B16" s="13"/>
      <x:c r="C16" s="13"/>
      <x:c r="D16" s="13"/>
      <x:c r="E16" s="19"/>
      <x:c r="F16" s="19"/>
      <x:c r="G16" s="20" t="str">
        <x:f>IF(COUNT(E16:F16)&lt;2,"",F16-E16)</x:f>
      </x:c>
      <x:c r="H16" s="21" t="str">
        <x:f>IF(COUNT(E16:F16)&lt;2,"",IF(E16=0,"",G16/E16))</x:f>
      </x:c>
      <x:c r="I16" s="4" t="str">
        <x:f>IF(A16="","",IF(COUNT(E16:F16)&lt;2,"Incomplete line",IF(ABS(G16)&lt;=Summary!$B$5,"Within tolerance",IF(G16&gt;0,"Invoice higher","Invoice lower"))))</x:f>
      </x:c>
      <x:c r="J16" s="13"/>
    </x:row>
    <x:row r="17">
      <x:c r="A17" s="13"/>
      <x:c r="B17" s="13"/>
      <x:c r="C17" s="13"/>
      <x:c r="D17" s="13"/>
      <x:c r="E17" s="19"/>
      <x:c r="F17" s="19"/>
      <x:c r="G17" s="20" t="str">
        <x:f>IF(COUNT(E17:F17)&lt;2,"",F17-E17)</x:f>
      </x:c>
      <x:c r="H17" s="21" t="str">
        <x:f>IF(COUNT(E17:F17)&lt;2,"",IF(E17=0,"",G17/E17))</x:f>
      </x:c>
      <x:c r="I17" s="4" t="str">
        <x:f>IF(A17="","",IF(COUNT(E17:F17)&lt;2,"Incomplete line",IF(ABS(G17)&lt;=Summary!$B$5,"Within tolerance",IF(G17&gt;0,"Invoice higher","Invoice lower"))))</x:f>
      </x:c>
      <x:c r="J17" s="13"/>
    </x:row>
    <x:row r="18">
      <x:c r="A18" s="13"/>
      <x:c r="B18" s="13"/>
      <x:c r="C18" s="13"/>
      <x:c r="D18" s="13"/>
      <x:c r="E18" s="19"/>
      <x:c r="F18" s="19"/>
      <x:c r="G18" s="20" t="str">
        <x:f>IF(COUNT(E18:F18)&lt;2,"",F18-E18)</x:f>
      </x:c>
      <x:c r="H18" s="21" t="str">
        <x:f>IF(COUNT(E18:F18)&lt;2,"",IF(E18=0,"",G18/E18))</x:f>
      </x:c>
      <x:c r="I18" s="4" t="str">
        <x:f>IF(A18="","",IF(COUNT(E18:F18)&lt;2,"Incomplete line",IF(ABS(G18)&lt;=Summary!$B$5,"Within tolerance",IF(G18&gt;0,"Invoice higher","Invoice lower"))))</x:f>
      </x:c>
      <x:c r="J18" s="13"/>
    </x:row>
    <x:row r="19">
      <x:c r="A19" s="13"/>
      <x:c r="B19" s="13"/>
      <x:c r="C19" s="13"/>
      <x:c r="D19" s="13"/>
      <x:c r="E19" s="19"/>
      <x:c r="F19" s="19"/>
      <x:c r="G19" s="20" t="str">
        <x:f>IF(COUNT(E19:F19)&lt;2,"",F19-E19)</x:f>
      </x:c>
      <x:c r="H19" s="21" t="str">
        <x:f>IF(COUNT(E19:F19)&lt;2,"",IF(E19=0,"",G19/E19))</x:f>
      </x:c>
      <x:c r="I19" s="4" t="str">
        <x:f>IF(A19="","",IF(COUNT(E19:F19)&lt;2,"Incomplete line",IF(ABS(G19)&lt;=Summary!$B$5,"Within tolerance",IF(G19&gt;0,"Invoice higher","Invoice lower"))))</x:f>
      </x:c>
      <x:c r="J19" s="13"/>
    </x:row>
    <x:row r="20">
      <x:c r="A20" s="13"/>
      <x:c r="B20" s="13"/>
      <x:c r="C20" s="13"/>
      <x:c r="D20" s="13"/>
      <x:c r="E20" s="19"/>
      <x:c r="F20" s="19"/>
      <x:c r="G20" s="20" t="str">
        <x:f>IF(COUNT(E20:F20)&lt;2,"",F20-E20)</x:f>
      </x:c>
      <x:c r="H20" s="21" t="str">
        <x:f>IF(COUNT(E20:F20)&lt;2,"",IF(E20=0,"",G20/E20))</x:f>
      </x:c>
      <x:c r="I20" s="4" t="str">
        <x:f>IF(A20="","",IF(COUNT(E20:F20)&lt;2,"Incomplete line",IF(ABS(G20)&lt;=Summary!$B$5,"Within tolerance",IF(G20&gt;0,"Invoice higher","Invoice lower"))))</x:f>
      </x:c>
      <x:c r="J20" s="13"/>
    </x:row>
    <x:row r="21">
      <x:c r="A21" s="13"/>
      <x:c r="B21" s="13"/>
      <x:c r="C21" s="13"/>
      <x:c r="D21" s="13"/>
      <x:c r="E21" s="19"/>
      <x:c r="F21" s="19"/>
      <x:c r="G21" s="20" t="str">
        <x:f>IF(COUNT(E21:F21)&lt;2,"",F21-E21)</x:f>
      </x:c>
      <x:c r="H21" s="21" t="str">
        <x:f>IF(COUNT(E21:F21)&lt;2,"",IF(E21=0,"",G21/E21))</x:f>
      </x:c>
      <x:c r="I21" s="4" t="str">
        <x:f>IF(A21="","",IF(COUNT(E21:F21)&lt;2,"Incomplete line",IF(ABS(G21)&lt;=Summary!$B$5,"Within tolerance",IF(G21&gt;0,"Invoice higher","Invoice lower"))))</x:f>
      </x:c>
      <x:c r="J21" s="13"/>
    </x:row>
    <x:row r="22">
      <x:c r="A22" s="13"/>
      <x:c r="B22" s="13"/>
      <x:c r="C22" s="13"/>
      <x:c r="D22" s="13"/>
      <x:c r="E22" s="19"/>
      <x:c r="F22" s="19"/>
      <x:c r="G22" s="20" t="str">
        <x:f>IF(COUNT(E22:F22)&lt;2,"",F22-E22)</x:f>
      </x:c>
      <x:c r="H22" s="21" t="str">
        <x:f>IF(COUNT(E22:F22)&lt;2,"",IF(E22=0,"",G22/E22))</x:f>
      </x:c>
      <x:c r="I22" s="4" t="str">
        <x:f>IF(A22="","",IF(COUNT(E22:F22)&lt;2,"Incomplete line",IF(ABS(G22)&lt;=Summary!$B$5,"Within tolerance",IF(G22&gt;0,"Invoice higher","Invoice lower"))))</x:f>
      </x:c>
      <x:c r="J22" s="13"/>
    </x:row>
    <x:row r="23">
      <x:c r="A23" s="13"/>
      <x:c r="B23" s="13"/>
      <x:c r="C23" s="13"/>
      <x:c r="D23" s="13"/>
      <x:c r="E23" s="19"/>
      <x:c r="F23" s="19"/>
      <x:c r="G23" s="20" t="str">
        <x:f>IF(COUNT(E23:F23)&lt;2,"",F23-E23)</x:f>
      </x:c>
      <x:c r="H23" s="21" t="str">
        <x:f>IF(COUNT(E23:F23)&lt;2,"",IF(E23=0,"",G23/E23))</x:f>
      </x:c>
      <x:c r="I23" s="4" t="str">
        <x:f>IF(A23="","",IF(COUNT(E23:F23)&lt;2,"Incomplete line",IF(ABS(G23)&lt;=Summary!$B$5,"Within tolerance",IF(G23&gt;0,"Invoice higher","Invoice lower"))))</x:f>
      </x:c>
      <x:c r="J23" s="13"/>
    </x:row>
    <x:row r="24">
      <x:c r="A24" s="13"/>
      <x:c r="B24" s="13"/>
      <x:c r="C24" s="13"/>
      <x:c r="D24" s="13"/>
      <x:c r="E24" s="19"/>
      <x:c r="F24" s="19"/>
      <x:c r="G24" s="20" t="str">
        <x:f>IF(COUNT(E24:F24)&lt;2,"",F24-E24)</x:f>
      </x:c>
      <x:c r="H24" s="21" t="str">
        <x:f>IF(COUNT(E24:F24)&lt;2,"",IF(E24=0,"",G24/E24))</x:f>
      </x:c>
      <x:c r="I24" s="4" t="str">
        <x:f>IF(A24="","",IF(COUNT(E24:F24)&lt;2,"Incomplete line",IF(ABS(G24)&lt;=Summary!$B$5,"Within tolerance",IF(G24&gt;0,"Invoice higher","Invoice lower"))))</x:f>
      </x:c>
      <x:c r="J24" s="13"/>
    </x:row>
    <x:row r="25">
      <x:c r="A25" s="13"/>
      <x:c r="B25" s="13"/>
      <x:c r="C25" s="13"/>
      <x:c r="D25" s="13"/>
      <x:c r="E25" s="19"/>
      <x:c r="F25" s="19"/>
      <x:c r="G25" s="20" t="str">
        <x:f>IF(COUNT(E25:F25)&lt;2,"",F25-E25)</x:f>
      </x:c>
      <x:c r="H25" s="21" t="str">
        <x:f>IF(COUNT(E25:F25)&lt;2,"",IF(E25=0,"",G25/E25))</x:f>
      </x:c>
      <x:c r="I25" s="4" t="str">
        <x:f>IF(A25="","",IF(COUNT(E25:F25)&lt;2,"Incomplete line",IF(ABS(G25)&lt;=Summary!$B$5,"Within tolerance",IF(G25&gt;0,"Invoice higher","Invoice lower"))))</x:f>
      </x:c>
      <x:c r="J25" s="13"/>
    </x:row>
    <x:row r="26">
      <x:c r="A26" s="13"/>
      <x:c r="B26" s="13"/>
      <x:c r="C26" s="13"/>
      <x:c r="D26" s="13"/>
      <x:c r="E26" s="19"/>
      <x:c r="F26" s="19"/>
      <x:c r="G26" s="20" t="str">
        <x:f>IF(COUNT(E26:F26)&lt;2,"",F26-E26)</x:f>
      </x:c>
      <x:c r="H26" s="21" t="str">
        <x:f>IF(COUNT(E26:F26)&lt;2,"",IF(E26=0,"",G26/E26))</x:f>
      </x:c>
      <x:c r="I26" s="4" t="str">
        <x:f>IF(A26="","",IF(COUNT(E26:F26)&lt;2,"Incomplete line",IF(ABS(G26)&lt;=Summary!$B$5,"Within tolerance",IF(G26&gt;0,"Invoice higher","Invoice lower"))))</x:f>
      </x:c>
      <x:c r="J26" s="13"/>
    </x:row>
    <x:row r="27">
      <x:c r="A27" s="13"/>
      <x:c r="B27" s="13"/>
      <x:c r="C27" s="13"/>
      <x:c r="D27" s="13"/>
      <x:c r="E27" s="19"/>
      <x:c r="F27" s="19"/>
      <x:c r="G27" s="20" t="str">
        <x:f>IF(COUNT(E27:F27)&lt;2,"",F27-E27)</x:f>
      </x:c>
      <x:c r="H27" s="21" t="str">
        <x:f>IF(COUNT(E27:F27)&lt;2,"",IF(E27=0,"",G27/E27))</x:f>
      </x:c>
      <x:c r="I27" s="4" t="str">
        <x:f>IF(A27="","",IF(COUNT(E27:F27)&lt;2,"Incomplete line",IF(ABS(G27)&lt;=Summary!$B$5,"Within tolerance",IF(G27&gt;0,"Invoice higher","Invoice lower"))))</x:f>
      </x:c>
      <x:c r="J27" s="13"/>
    </x:row>
    <x:row r="28">
      <x:c r="A28" s="13"/>
      <x:c r="B28" s="13"/>
      <x:c r="C28" s="13"/>
      <x:c r="D28" s="13"/>
      <x:c r="E28" s="19"/>
      <x:c r="F28" s="19"/>
      <x:c r="G28" s="20" t="str">
        <x:f>IF(COUNT(E28:F28)&lt;2,"",F28-E28)</x:f>
      </x:c>
      <x:c r="H28" s="21" t="str">
        <x:f>IF(COUNT(E28:F28)&lt;2,"",IF(E28=0,"",G28/E28))</x:f>
      </x:c>
      <x:c r="I28" s="4" t="str">
        <x:f>IF(A28="","",IF(COUNT(E28:F28)&lt;2,"Incomplete line",IF(ABS(G28)&lt;=Summary!$B$5,"Within tolerance",IF(G28&gt;0,"Invoice higher","Invoice lower"))))</x:f>
      </x:c>
      <x:c r="J28" s="13"/>
    </x:row>
    <x:row r="29">
      <x:c r="A29" s="13"/>
      <x:c r="B29" s="13"/>
      <x:c r="C29" s="13"/>
      <x:c r="D29" s="13"/>
      <x:c r="E29" s="19"/>
      <x:c r="F29" s="19"/>
      <x:c r="G29" s="20" t="str">
        <x:f>IF(COUNT(E29:F29)&lt;2,"",F29-E29)</x:f>
      </x:c>
      <x:c r="H29" s="21" t="str">
        <x:f>IF(COUNT(E29:F29)&lt;2,"",IF(E29=0,"",G29/E29))</x:f>
      </x:c>
      <x:c r="I29" s="4" t="str">
        <x:f>IF(A29="","",IF(COUNT(E29:F29)&lt;2,"Incomplete line",IF(ABS(G29)&lt;=Summary!$B$5,"Within tolerance",IF(G29&gt;0,"Invoice higher","Invoice lower"))))</x:f>
      </x:c>
      <x:c r="J29" s="13"/>
    </x:row>
    <x:row r="30">
      <x:c r="A30" s="13"/>
      <x:c r="B30" s="13"/>
      <x:c r="C30" s="13"/>
      <x:c r="D30" s="13"/>
      <x:c r="E30" s="19"/>
      <x:c r="F30" s="19"/>
      <x:c r="G30" s="20" t="str">
        <x:f>IF(COUNT(E30:F30)&lt;2,"",F30-E30)</x:f>
      </x:c>
      <x:c r="H30" s="21" t="str">
        <x:f>IF(COUNT(E30:F30)&lt;2,"",IF(E30=0,"",G30/E30))</x:f>
      </x:c>
      <x:c r="I30" s="4" t="str">
        <x:f>IF(A30="","",IF(COUNT(E30:F30)&lt;2,"Incomplete line",IF(ABS(G30)&lt;=Summary!$B$5,"Within tolerance",IF(G30&gt;0,"Invoice higher","Invoice lower"))))</x:f>
      </x:c>
      <x:c r="J30" s="13"/>
    </x:row>
    <x:row r="31">
      <x:c r="A31" s="13"/>
      <x:c r="B31" s="13"/>
      <x:c r="C31" s="13"/>
      <x:c r="D31" s="13"/>
      <x:c r="E31" s="19"/>
      <x:c r="F31" s="19"/>
      <x:c r="G31" s="20" t="str">
        <x:f>IF(COUNT(E31:F31)&lt;2,"",F31-E31)</x:f>
      </x:c>
      <x:c r="H31" s="21" t="str">
        <x:f>IF(COUNT(E31:F31)&lt;2,"",IF(E31=0,"",G31/E31))</x:f>
      </x:c>
      <x:c r="I31" s="4" t="str">
        <x:f>IF(A31="","",IF(COUNT(E31:F31)&lt;2,"Incomplete line",IF(ABS(G31)&lt;=Summary!$B$5,"Within tolerance",IF(G31&gt;0,"Invoice higher","Invoice lower"))))</x:f>
      </x:c>
      <x:c r="J31" s="13"/>
    </x:row>
    <x:row r="32">
      <x:c r="A32" s="13"/>
      <x:c r="B32" s="13"/>
      <x:c r="C32" s="13"/>
      <x:c r="D32" s="13"/>
      <x:c r="E32" s="19"/>
      <x:c r="F32" s="19"/>
      <x:c r="G32" s="20" t="str">
        <x:f>IF(COUNT(E32:F32)&lt;2,"",F32-E32)</x:f>
      </x:c>
      <x:c r="H32" s="21" t="str">
        <x:f>IF(COUNT(E32:F32)&lt;2,"",IF(E32=0,"",G32/E32))</x:f>
      </x:c>
      <x:c r="I32" s="4" t="str">
        <x:f>IF(A32="","",IF(COUNT(E32:F32)&lt;2,"Incomplete line",IF(ABS(G32)&lt;=Summary!$B$5,"Within tolerance",IF(G32&gt;0,"Invoice higher","Invoice lower"))))</x:f>
      </x:c>
      <x:c r="J32" s="13"/>
    </x:row>
    <x:row r="33">
      <x:c r="A33" s="13"/>
      <x:c r="B33" s="13"/>
      <x:c r="C33" s="13"/>
      <x:c r="D33" s="13"/>
      <x:c r="E33" s="19"/>
      <x:c r="F33" s="19"/>
      <x:c r="G33" s="20" t="str">
        <x:f>IF(COUNT(E33:F33)&lt;2,"",F33-E33)</x:f>
      </x:c>
      <x:c r="H33" s="21" t="str">
        <x:f>IF(COUNT(E33:F33)&lt;2,"",IF(E33=0,"",G33/E33))</x:f>
      </x:c>
      <x:c r="I33" s="4" t="str">
        <x:f>IF(A33="","",IF(COUNT(E33:F33)&lt;2,"Incomplete line",IF(ABS(G33)&lt;=Summary!$B$5,"Within tolerance",IF(G33&gt;0,"Invoice higher","Invoice lower"))))</x:f>
      </x:c>
      <x:c r="J33" s="13"/>
    </x:row>
    <x:row r="34">
      <x:c r="A34" s="13"/>
      <x:c r="B34" s="13"/>
      <x:c r="C34" s="13"/>
      <x:c r="D34" s="13"/>
      <x:c r="E34" s="19"/>
      <x:c r="F34" s="19"/>
      <x:c r="G34" s="20" t="str">
        <x:f>IF(COUNT(E34:F34)&lt;2,"",F34-E34)</x:f>
      </x:c>
      <x:c r="H34" s="21" t="str">
        <x:f>IF(COUNT(E34:F34)&lt;2,"",IF(E34=0,"",G34/E34))</x:f>
      </x:c>
      <x:c r="I34" s="4" t="str">
        <x:f>IF(A34="","",IF(COUNT(E34:F34)&lt;2,"Incomplete line",IF(ABS(G34)&lt;=Summary!$B$5,"Within tolerance",IF(G34&gt;0,"Invoice higher","Invoice lower"))))</x:f>
      </x:c>
      <x:c r="J34" s="13"/>
    </x:row>
    <x:row r="35">
      <x:c r="A35" s="13"/>
      <x:c r="B35" s="13"/>
      <x:c r="C35" s="13"/>
      <x:c r="D35" s="13"/>
      <x:c r="E35" s="19"/>
      <x:c r="F35" s="19"/>
      <x:c r="G35" s="20" t="str">
        <x:f>IF(COUNT(E35:F35)&lt;2,"",F35-E35)</x:f>
      </x:c>
      <x:c r="H35" s="21" t="str">
        <x:f>IF(COUNT(E35:F35)&lt;2,"",IF(E35=0,"",G35/E35))</x:f>
      </x:c>
      <x:c r="I35" s="4" t="str">
        <x:f>IF(A35="","",IF(COUNT(E35:F35)&lt;2,"Incomplete line",IF(ABS(G35)&lt;=Summary!$B$5,"Within tolerance",IF(G35&gt;0,"Invoice higher","Invoice lower"))))</x:f>
      </x:c>
      <x:c r="J35" s="13"/>
    </x:row>
    <x:row r="36">
      <x:c r="A36" s="13"/>
      <x:c r="B36" s="13"/>
      <x:c r="C36" s="13"/>
      <x:c r="D36" s="13"/>
      <x:c r="E36" s="19"/>
      <x:c r="F36" s="19"/>
      <x:c r="G36" s="20" t="str">
        <x:f>IF(COUNT(E36:F36)&lt;2,"",F36-E36)</x:f>
      </x:c>
      <x:c r="H36" s="21" t="str">
        <x:f>IF(COUNT(E36:F36)&lt;2,"",IF(E36=0,"",G36/E36))</x:f>
      </x:c>
      <x:c r="I36" s="4" t="str">
        <x:f>IF(A36="","",IF(COUNT(E36:F36)&lt;2,"Incomplete line",IF(ABS(G36)&lt;=Summary!$B$5,"Within tolerance",IF(G36&gt;0,"Invoice higher","Invoice lower"))))</x:f>
      </x:c>
      <x:c r="J36" s="13"/>
    </x:row>
    <x:row r="37">
      <x:c r="A37" s="13"/>
      <x:c r="B37" s="13"/>
      <x:c r="C37" s="13"/>
      <x:c r="D37" s="13"/>
      <x:c r="E37" s="19"/>
      <x:c r="F37" s="19"/>
      <x:c r="G37" s="20" t="str">
        <x:f>IF(COUNT(E37:F37)&lt;2,"",F37-E37)</x:f>
      </x:c>
      <x:c r="H37" s="21" t="str">
        <x:f>IF(COUNT(E37:F37)&lt;2,"",IF(E37=0,"",G37/E37))</x:f>
      </x:c>
      <x:c r="I37" s="4" t="str">
        <x:f>IF(A37="","",IF(COUNT(E37:F37)&lt;2,"Incomplete line",IF(ABS(G37)&lt;=Summary!$B$5,"Within tolerance",IF(G37&gt;0,"Invoice higher","Invoice lower"))))</x:f>
      </x:c>
      <x:c r="J37" s="13"/>
    </x:row>
    <x:row r="38">
      <x:c r="A38" s="13"/>
      <x:c r="B38" s="13"/>
      <x:c r="C38" s="13"/>
      <x:c r="D38" s="13"/>
      <x:c r="E38" s="19"/>
      <x:c r="F38" s="19"/>
      <x:c r="G38" s="20" t="str">
        <x:f>IF(COUNT(E38:F38)&lt;2,"",F38-E38)</x:f>
      </x:c>
      <x:c r="H38" s="21" t="str">
        <x:f>IF(COUNT(E38:F38)&lt;2,"",IF(E38=0,"",G38/E38))</x:f>
      </x:c>
      <x:c r="I38" s="4" t="str">
        <x:f>IF(A38="","",IF(COUNT(E38:F38)&lt;2,"Incomplete line",IF(ABS(G38)&lt;=Summary!$B$5,"Within tolerance",IF(G38&gt;0,"Invoice higher","Invoice lower"))))</x:f>
      </x:c>
      <x:c r="J38" s="13"/>
    </x:row>
    <x:row r="39">
      <x:c r="A39" s="13"/>
      <x:c r="B39" s="13"/>
      <x:c r="C39" s="13"/>
      <x:c r="D39" s="13"/>
      <x:c r="E39" s="19"/>
      <x:c r="F39" s="19"/>
      <x:c r="G39" s="20" t="str">
        <x:f>IF(COUNT(E39:F39)&lt;2,"",F39-E39)</x:f>
      </x:c>
      <x:c r="H39" s="21" t="str">
        <x:f>IF(COUNT(E39:F39)&lt;2,"",IF(E39=0,"",G39/E39))</x:f>
      </x:c>
      <x:c r="I39" s="4" t="str">
        <x:f>IF(A39="","",IF(COUNT(E39:F39)&lt;2,"Incomplete line",IF(ABS(G39)&lt;=Summary!$B$5,"Within tolerance",IF(G39&gt;0,"Invoice higher","Invoice lower"))))</x:f>
      </x:c>
      <x:c r="J39" s="13"/>
    </x:row>
    <x:row r="40">
      <x:c r="A40" s="13"/>
      <x:c r="B40" s="13"/>
      <x:c r="C40" s="13"/>
      <x:c r="D40" s="13"/>
      <x:c r="E40" s="19"/>
      <x:c r="F40" s="19"/>
      <x:c r="G40" s="20" t="str">
        <x:f>IF(COUNT(E40:F40)&lt;2,"",F40-E40)</x:f>
      </x:c>
      <x:c r="H40" s="21" t="str">
        <x:f>IF(COUNT(E40:F40)&lt;2,"",IF(E40=0,"",G40/E40))</x:f>
      </x:c>
      <x:c r="I40" s="4" t="str">
        <x:f>IF(A40="","",IF(COUNT(E40:F40)&lt;2,"Incomplete line",IF(ABS(G40)&lt;=Summary!$B$5,"Within tolerance",IF(G40&gt;0,"Invoice higher","Invoice lower"))))</x:f>
      </x:c>
      <x:c r="J40" s="13"/>
    </x:row>
    <x:row r="41">
      <x:c r="A41" s="13"/>
      <x:c r="B41" s="13"/>
      <x:c r="C41" s="13"/>
      <x:c r="D41" s="13"/>
      <x:c r="E41" s="19"/>
      <x:c r="F41" s="19"/>
      <x:c r="G41" s="20" t="str">
        <x:f>IF(COUNT(E41:F41)&lt;2,"",F41-E41)</x:f>
      </x:c>
      <x:c r="H41" s="21" t="str">
        <x:f>IF(COUNT(E41:F41)&lt;2,"",IF(E41=0,"",G41/E41))</x:f>
      </x:c>
      <x:c r="I41" s="4" t="str">
        <x:f>IF(A41="","",IF(COUNT(E41:F41)&lt;2,"Incomplete line",IF(ABS(G41)&lt;=Summary!$B$5,"Within tolerance",IF(G41&gt;0,"Invoice higher","Invoice lower"))))</x:f>
      </x:c>
      <x:c r="J41" s="13"/>
    </x:row>
    <x:row r="42">
      <x:c r="A42" s="13"/>
      <x:c r="B42" s="13"/>
      <x:c r="C42" s="13"/>
      <x:c r="D42" s="13"/>
      <x:c r="E42" s="19"/>
      <x:c r="F42" s="19"/>
      <x:c r="G42" s="20" t="str">
        <x:f>IF(COUNT(E42:F42)&lt;2,"",F42-E42)</x:f>
      </x:c>
      <x:c r="H42" s="21" t="str">
        <x:f>IF(COUNT(E42:F42)&lt;2,"",IF(E42=0,"",G42/E42))</x:f>
      </x:c>
      <x:c r="I42" s="4" t="str">
        <x:f>IF(A42="","",IF(COUNT(E42:F42)&lt;2,"Incomplete line",IF(ABS(G42)&lt;=Summary!$B$5,"Within tolerance",IF(G42&gt;0,"Invoice higher","Invoice lower"))))</x:f>
      </x:c>
      <x:c r="J42" s="13"/>
    </x:row>
    <x:row r="43">
      <x:c r="A43" s="13"/>
      <x:c r="B43" s="13"/>
      <x:c r="C43" s="13"/>
      <x:c r="D43" s="13"/>
      <x:c r="E43" s="19"/>
      <x:c r="F43" s="19"/>
      <x:c r="G43" s="20" t="str">
        <x:f>IF(COUNT(E43:F43)&lt;2,"",F43-E43)</x:f>
      </x:c>
      <x:c r="H43" s="21" t="str">
        <x:f>IF(COUNT(E43:F43)&lt;2,"",IF(E43=0,"",G43/E43))</x:f>
      </x:c>
      <x:c r="I43" s="4" t="str">
        <x:f>IF(A43="","",IF(COUNT(E43:F43)&lt;2,"Incomplete line",IF(ABS(G43)&lt;=Summary!$B$5,"Within tolerance",IF(G43&gt;0,"Invoice higher","Invoice lower"))))</x:f>
      </x:c>
      <x:c r="J43" s="13"/>
    </x:row>
    <x:row r="44">
      <x:c r="A44" s="13"/>
      <x:c r="B44" s="13"/>
      <x:c r="C44" s="13"/>
      <x:c r="D44" s="13"/>
      <x:c r="E44" s="19"/>
      <x:c r="F44" s="19"/>
      <x:c r="G44" s="20" t="str">
        <x:f>IF(COUNT(E44:F44)&lt;2,"",F44-E44)</x:f>
      </x:c>
      <x:c r="H44" s="21" t="str">
        <x:f>IF(COUNT(E44:F44)&lt;2,"",IF(E44=0,"",G44/E44))</x:f>
      </x:c>
      <x:c r="I44" s="4" t="str">
        <x:f>IF(A44="","",IF(COUNT(E44:F44)&lt;2,"Incomplete line",IF(ABS(G44)&lt;=Summary!$B$5,"Within tolerance",IF(G44&gt;0,"Invoice higher","Invoice lower"))))</x:f>
      </x:c>
      <x:c r="J44" s="13"/>
    </x:row>
    <x:row r="45">
      <x:c r="A45" s="13"/>
      <x:c r="B45" s="13"/>
      <x:c r="C45" s="13"/>
      <x:c r="D45" s="13"/>
      <x:c r="E45" s="19"/>
      <x:c r="F45" s="19"/>
      <x:c r="G45" s="20" t="str">
        <x:f>IF(COUNT(E45:F45)&lt;2,"",F45-E45)</x:f>
      </x:c>
      <x:c r="H45" s="21" t="str">
        <x:f>IF(COUNT(E45:F45)&lt;2,"",IF(E45=0,"",G45/E45))</x:f>
      </x:c>
      <x:c r="I45" s="4" t="str">
        <x:f>IF(A45="","",IF(COUNT(E45:F45)&lt;2,"Incomplete line",IF(ABS(G45)&lt;=Summary!$B$5,"Within tolerance",IF(G45&gt;0,"Invoice higher","Invoice lower"))))</x:f>
      </x:c>
      <x:c r="J45" s="13"/>
    </x:row>
    <x:row r="46">
      <x:c r="A46" s="13"/>
      <x:c r="B46" s="13"/>
      <x:c r="C46" s="13"/>
      <x:c r="D46" s="13"/>
      <x:c r="E46" s="19"/>
      <x:c r="F46" s="19"/>
      <x:c r="G46" s="20" t="str">
        <x:f>IF(COUNT(E46:F46)&lt;2,"",F46-E46)</x:f>
      </x:c>
      <x:c r="H46" s="21" t="str">
        <x:f>IF(COUNT(E46:F46)&lt;2,"",IF(E46=0,"",G46/E46))</x:f>
      </x:c>
      <x:c r="I46" s="4" t="str">
        <x:f>IF(A46="","",IF(COUNT(E46:F46)&lt;2,"Incomplete line",IF(ABS(G46)&lt;=Summary!$B$5,"Within tolerance",IF(G46&gt;0,"Invoice higher","Invoice lower"))))</x:f>
      </x:c>
      <x:c r="J46" s="13"/>
    </x:row>
    <x:row r="47">
      <x:c r="A47" s="13"/>
      <x:c r="B47" s="13"/>
      <x:c r="C47" s="13"/>
      <x:c r="D47" s="13"/>
      <x:c r="E47" s="19"/>
      <x:c r="F47" s="19"/>
      <x:c r="G47" s="20" t="str">
        <x:f>IF(COUNT(E47:F47)&lt;2,"",F47-E47)</x:f>
      </x:c>
      <x:c r="H47" s="21" t="str">
        <x:f>IF(COUNT(E47:F47)&lt;2,"",IF(E47=0,"",G47/E47))</x:f>
      </x:c>
      <x:c r="I47" s="4" t="str">
        <x:f>IF(A47="","",IF(COUNT(E47:F47)&lt;2,"Incomplete line",IF(ABS(G47)&lt;=Summary!$B$5,"Within tolerance",IF(G47&gt;0,"Invoice higher","Invoice lower"))))</x:f>
      </x:c>
      <x:c r="J47" s="13"/>
    </x:row>
    <x:row r="48">
      <x:c r="A48" s="13"/>
      <x:c r="B48" s="13"/>
      <x:c r="C48" s="13"/>
      <x:c r="D48" s="13"/>
      <x:c r="E48" s="19"/>
      <x:c r="F48" s="19"/>
      <x:c r="G48" s="20" t="str">
        <x:f>IF(COUNT(E48:F48)&lt;2,"",F48-E48)</x:f>
      </x:c>
      <x:c r="H48" s="21" t="str">
        <x:f>IF(COUNT(E48:F48)&lt;2,"",IF(E48=0,"",G48/E48))</x:f>
      </x:c>
      <x:c r="I48" s="4" t="str">
        <x:f>IF(A48="","",IF(COUNT(E48:F48)&lt;2,"Incomplete line",IF(ABS(G48)&lt;=Summary!$B$5,"Within tolerance",IF(G48&gt;0,"Invoice higher","Invoice lower"))))</x:f>
      </x:c>
      <x:c r="J48" s="13"/>
    </x:row>
    <x:row r="49">
      <x:c r="A49" s="13"/>
      <x:c r="B49" s="13"/>
      <x:c r="C49" s="13"/>
      <x:c r="D49" s="13"/>
      <x:c r="E49" s="19"/>
      <x:c r="F49" s="19"/>
      <x:c r="G49" s="20" t="str">
        <x:f>IF(COUNT(E49:F49)&lt;2,"",F49-E49)</x:f>
      </x:c>
      <x:c r="H49" s="21" t="str">
        <x:f>IF(COUNT(E49:F49)&lt;2,"",IF(E49=0,"",G49/E49))</x:f>
      </x:c>
      <x:c r="I49" s="4" t="str">
        <x:f>IF(A49="","",IF(COUNT(E49:F49)&lt;2,"Incomplete line",IF(ABS(G49)&lt;=Summary!$B$5,"Within tolerance",IF(G49&gt;0,"Invoice higher","Invoice lower"))))</x:f>
      </x:c>
      <x:c r="J49" s="13"/>
    </x:row>
    <x:row r="50">
      <x:c r="A50" s="13"/>
      <x:c r="B50" s="13"/>
      <x:c r="C50" s="13"/>
      <x:c r="D50" s="13"/>
      <x:c r="E50" s="19"/>
      <x:c r="F50" s="19"/>
      <x:c r="G50" s="20" t="str">
        <x:f>IF(COUNT(E50:F50)&lt;2,"",F50-E50)</x:f>
      </x:c>
      <x:c r="H50" s="21" t="str">
        <x:f>IF(COUNT(E50:F50)&lt;2,"",IF(E50=0,"",G50/E50))</x:f>
      </x:c>
      <x:c r="I50" s="4" t="str">
        <x:f>IF(A50="","",IF(COUNT(E50:F50)&lt;2,"Incomplete line",IF(ABS(G50)&lt;=Summary!$B$5,"Within tolerance",IF(G50&gt;0,"Invoice higher","Invoice lower"))))</x:f>
      </x:c>
      <x:c r="J50" s="13"/>
    </x:row>
    <x:row r="51">
      <x:c r="A51" s="13"/>
      <x:c r="B51" s="13"/>
      <x:c r="C51" s="13"/>
      <x:c r="D51" s="13"/>
      <x:c r="E51" s="19"/>
      <x:c r="F51" s="19"/>
      <x:c r="G51" s="20" t="str">
        <x:f>IF(COUNT(E51:F51)&lt;2,"",F51-E51)</x:f>
      </x:c>
      <x:c r="H51" s="21" t="str">
        <x:f>IF(COUNT(E51:F51)&lt;2,"",IF(E51=0,"",G51/E51))</x:f>
      </x:c>
      <x:c r="I51" s="4" t="str">
        <x:f>IF(A51="","",IF(COUNT(E51:F51)&lt;2,"Incomplete line",IF(ABS(G51)&lt;=Summary!$B$5,"Within tolerance",IF(G51&gt;0,"Invoice higher","Invoice lower"))))</x:f>
      </x:c>
      <x:c r="J51" s="13"/>
    </x:row>
    <x:row r="52">
      <x:c r="A52" s="13"/>
      <x:c r="B52" s="13"/>
      <x:c r="C52" s="13"/>
      <x:c r="D52" s="13"/>
      <x:c r="E52" s="19"/>
      <x:c r="F52" s="19"/>
      <x:c r="G52" s="20" t="str">
        <x:f>IF(COUNT(E52:F52)&lt;2,"",F52-E52)</x:f>
      </x:c>
      <x:c r="H52" s="21" t="str">
        <x:f>IF(COUNT(E52:F52)&lt;2,"",IF(E52=0,"",G52/E52))</x:f>
      </x:c>
      <x:c r="I52" s="4" t="str">
        <x:f>IF(A52="","",IF(COUNT(E52:F52)&lt;2,"Incomplete line",IF(ABS(G52)&lt;=Summary!$B$5,"Within tolerance",IF(G52&gt;0,"Invoice higher","Invoice lower"))))</x:f>
      </x:c>
      <x:c r="J52" s="13"/>
    </x:row>
    <x:row r="53">
      <x:c r="A53" s="13"/>
      <x:c r="B53" s="13"/>
      <x:c r="C53" s="13"/>
      <x:c r="D53" s="13"/>
      <x:c r="E53" s="19"/>
      <x:c r="F53" s="19"/>
      <x:c r="G53" s="20" t="str">
        <x:f>IF(COUNT(E53:F53)&lt;2,"",F53-E53)</x:f>
      </x:c>
      <x:c r="H53" s="21" t="str">
        <x:f>IF(COUNT(E53:F53)&lt;2,"",IF(E53=0,"",G53/E53))</x:f>
      </x:c>
      <x:c r="I53" s="4" t="str">
        <x:f>IF(A53="","",IF(COUNT(E53:F53)&lt;2,"Incomplete line",IF(ABS(G53)&lt;=Summary!$B$5,"Within tolerance",IF(G53&gt;0,"Invoice higher","Invoice lower"))))</x:f>
      </x:c>
      <x:c r="J53" s="13"/>
    </x:row>
    <x:row r="54">
      <x:c r="A54" s="13"/>
      <x:c r="B54" s="13"/>
      <x:c r="C54" s="13"/>
      <x:c r="D54" s="13"/>
      <x:c r="E54" s="19"/>
      <x:c r="F54" s="19"/>
      <x:c r="G54" s="20" t="str">
        <x:f>IF(COUNT(E54:F54)&lt;2,"",F54-E54)</x:f>
      </x:c>
      <x:c r="H54" s="21" t="str">
        <x:f>IF(COUNT(E54:F54)&lt;2,"",IF(E54=0,"",G54/E54))</x:f>
      </x:c>
      <x:c r="I54" s="4" t="str">
        <x:f>IF(A54="","",IF(COUNT(E54:F54)&lt;2,"Incomplete line",IF(ABS(G54)&lt;=Summary!$B$5,"Within tolerance",IF(G54&gt;0,"Invoice higher","Invoice lower"))))</x:f>
      </x:c>
      <x:c r="J54" s="13"/>
    </x:row>
    <x:row r="55">
      <x:c r="A55" s="13"/>
      <x:c r="B55" s="13"/>
      <x:c r="C55" s="13"/>
      <x:c r="D55" s="13"/>
      <x:c r="E55" s="19"/>
      <x:c r="F55" s="19"/>
      <x:c r="G55" s="20" t="str">
        <x:f>IF(COUNT(E55:F55)&lt;2,"",F55-E55)</x:f>
      </x:c>
      <x:c r="H55" s="21" t="str">
        <x:f>IF(COUNT(E55:F55)&lt;2,"",IF(E55=0,"",G55/E55))</x:f>
      </x:c>
      <x:c r="I55" s="4" t="str">
        <x:f>IF(A55="","",IF(COUNT(E55:F55)&lt;2,"Incomplete line",IF(ABS(G55)&lt;=Summary!$B$5,"Within tolerance",IF(G55&gt;0,"Invoice higher","Invoice lower"))))</x:f>
      </x:c>
      <x:c r="J55" s="13"/>
    </x:row>
    <x:row r="56">
      <x:c r="A56" s="13"/>
      <x:c r="B56" s="13"/>
      <x:c r="C56" s="13"/>
      <x:c r="D56" s="13"/>
      <x:c r="E56" s="19"/>
      <x:c r="F56" s="19"/>
      <x:c r="G56" s="20" t="str">
        <x:f>IF(COUNT(E56:F56)&lt;2,"",F56-E56)</x:f>
      </x:c>
      <x:c r="H56" s="21" t="str">
        <x:f>IF(COUNT(E56:F56)&lt;2,"",IF(E56=0,"",G56/E56))</x:f>
      </x:c>
      <x:c r="I56" s="4" t="str">
        <x:f>IF(A56="","",IF(COUNT(E56:F56)&lt;2,"Incomplete line",IF(ABS(G56)&lt;=Summary!$B$5,"Within tolerance",IF(G56&gt;0,"Invoice higher","Invoice lower"))))</x:f>
      </x:c>
      <x:c r="J56" s="13"/>
    </x:row>
    <x:row r="57">
      <x:c r="A57" s="13"/>
      <x:c r="B57" s="13"/>
      <x:c r="C57" s="13"/>
      <x:c r="D57" s="13"/>
      <x:c r="E57" s="19"/>
      <x:c r="F57" s="19"/>
      <x:c r="G57" s="20" t="str">
        <x:f>IF(COUNT(E57:F57)&lt;2,"",F57-E57)</x:f>
      </x:c>
      <x:c r="H57" s="21" t="str">
        <x:f>IF(COUNT(E57:F57)&lt;2,"",IF(E57=0,"",G57/E57))</x:f>
      </x:c>
      <x:c r="I57" s="4" t="str">
        <x:f>IF(A57="","",IF(COUNT(E57:F57)&lt;2,"Incomplete line",IF(ABS(G57)&lt;=Summary!$B$5,"Within tolerance",IF(G57&gt;0,"Invoice higher","Invoice lower"))))</x:f>
      </x:c>
      <x:c r="J57" s="13"/>
    </x:row>
  </x:sheetData>
  <x:mergeCells>
    <x:mergeCell ref="A2:J2"/>
    <x:mergeCell ref="A4:J4"/>
  </x:mergeCells>
  <x:conditionalFormatting sqref="I8:I57">
    <x:cfRule type="containsText" dxfId="0" priority="1" operator="containsText" text="Invoice higher"/>
    <x:cfRule type="containsText" dxfId="1" priority="2" operator="containsText" text="Invoice lowe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1"/>
      <x:c r="B1" s="1"/>
    </x:row>
    <x:row r="2">
      <x:c r="A2" s="3" t="str">
        <x:v>Using the Audit Workbook</x:v>
      </x:c>
      <x:c r="B2" s="3"/>
    </x:row>
    <x:row r="3">
      <x:c r="A3" s="1"/>
      <x:c r="B3" s="1"/>
    </x:row>
    <x:row r="4" ht="32" customHeight="1">
      <x:c r="A4" s="12" t="str">
        <x:v>1. Prepare</x:v>
      </x:c>
      <x:c r="B4" s="7" t="str">
        <x:v>Export quote and invoice lines; keep one row per shipment and charge code.</x:v>
      </x:c>
    </x:row>
    <x:row r="5" ht="32" customHeight="1">
      <x:c r="A5" s="12" t="str">
        <x:v>2. Match</x:v>
      </x:c>
      <x:c r="B5" s="7" t="str">
        <x:v>Use a shared Shipment ID and comparable Charge code.</x:v>
      </x:c>
    </x:row>
    <x:row r="6" ht="32" customHeight="1">
      <x:c r="A6" s="12" t="str">
        <x:v>3. Enter</x:v>
      </x:c>
      <x:c r="B6" s="7" t="str">
        <x:v>Replace the illustrative sample rows with your own data; extend formulas for more rows.</x:v>
      </x:c>
    </x:row>
    <x:row r="7" ht="32" customHeight="1">
      <x:c r="A7" s="12" t="str">
        <x:v>4. Review</x:v>
      </x:c>
      <x:c r="B7" s="7" t="str">
        <x:v>Choose display currency and tolerance on Summary, then filter Review status.</x:v>
      </x:c>
    </x:row>
    <x:row r="8" ht="32" customHeight="1">
      <x:c r="A8" s="12" t="str">
        <x:v>Important</x:v>
      </x:c>
      <x:c r="B8" s="7" t="str">
        <x:v>Taxes, exchange rates, accessorial definitions, and contract rules are not inferred. Verify source documents before disputing a charge.</x:v>
      </x:c>
    </x:row>
  </x:sheetData>
  <x:mergeCells>
    <x:mergeCell ref="A2:B2"/>
  </x:mergeCells>
  <x:pageMargins left="0.7" right="0.7" top="0.75" bottom="0.75" header="0.3" footer="0.3"/>
</x:worksheet>
</file>