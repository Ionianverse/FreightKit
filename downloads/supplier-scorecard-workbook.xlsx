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7b6e00bcb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a9472d09595b4b53"/>
    <x:sheet xmlns:r="http://schemas.openxmlformats.org/officeDocument/2006/relationships" name="Read me" sheetId="2" r:id="Red70b830e9d0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53A5B"/>
      <x:name val="Arial"/>
    </x:font>
    <x:font>
      <x:b/>
      <x:sz val="10"/>
      <x:color rgb="FFFFFFFF"/>
      <x:name val="Arial"/>
    </x:font>
    <x:font>
      <x:b/>
      <x:sz val="10"/>
      <x:color rgb="FF153A5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0B5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2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5d85faee245d5" /><Relationship Type="http://schemas.openxmlformats.org/officeDocument/2006/relationships/theme" Target="/xl/theme/theme1.xml" Id="Rb4f0ef92edbe42e2" /><Relationship Type="http://schemas.openxmlformats.org/officeDocument/2006/relationships/sharedStrings" Target="/xl/sharedStrings.xml" Id="Ra01bfd957c044e81" /><Relationship Type="http://schemas.openxmlformats.org/officeDocument/2006/relationships/worksheet" Target="/xl/worksheets/sheet1.xml" Id="Ra9472d09595b4b53" /><Relationship Type="http://schemas.openxmlformats.org/officeDocument/2006/relationships/worksheet" Target="/xl/worksheets/sheet2.xml" Id="Red70b830e9d040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31" hidden="0" customWidth="1"/>
    <x:col min="11" max="11" width="22" hidden="0" customWidth="1"/>
    <x:col min="12" max="12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Supplier Performance Scorecard</x:v>
      </x:c>
      <x:c r="B2" s="3"/>
      <x:c r="C2" s="3"/>
      <x:c r="D2" s="3"/>
      <x:c r="E2" s="3"/>
      <x:c r="F2" s="3"/>
      <x:c r="G2" s="3"/>
      <x:c r="H2" s="3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4" t="str">
        <x:v>Weights</x:v>
      </x:c>
      <x:c r="B4" s="6" t="n">
        <x:v>0.25</x:v>
      </x:c>
      <x:c r="C4" s="6" t="n">
        <x:v>0.25</x:v>
      </x:c>
      <x:c r="D4" s="6" t="n">
        <x:v>0.25</x:v>
      </x:c>
      <x:c r="E4" s="6" t="n">
        <x:v>0.25</x:v>
      </x:c>
      <x:c r="F4" s="1"/>
      <x:c r="G4" s="1"/>
      <x:c r="H4" s="1"/>
      <x:c r="I4" s="1"/>
      <x:c r="J4" s="1"/>
      <x:c r="K4" s="12" t="str">
        <x:v>Suppliers scored</x:v>
      </x:c>
      <x:c r="L4" s="1" t="n">
        <x:f>COUNTA(A8:A57)</x:f>
        <x:v>4</x:v>
      </x:c>
    </x:row>
    <x:row r="5">
      <x:c r="A5" s="5" t="str">
        <x:v>Weight total</x:v>
      </x:c>
      <x:c r="B5" s="7" t="n">
        <x:f>SUM(B4:E4)</x:f>
        <x:v>1</x:v>
      </x:c>
      <x:c r="C5" s="7"/>
      <x:c r="D5" s="7"/>
      <x:c r="E5" s="7"/>
      <x:c r="F5" s="1"/>
      <x:c r="G5" s="1"/>
      <x:c r="H5" s="1"/>
      <x:c r="I5" s="1"/>
      <x:c r="J5" s="1"/>
      <x:c r="K5" s="12" t="str">
        <x:v>Average score</x:v>
      </x:c>
      <x:c r="L5" s="13" t="n">
        <x:f>IFERROR(AVERAGE(F8:F57),0)</x:f>
        <x:v>80.625</x:v>
      </x:c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2" t="str">
        <x:v>Need action (&lt;70)</x:v>
      </x:c>
      <x:c r="L6" s="1" t="n">
        <x:f>COUNTIF(G8:G57,"Needs action")</x:f>
        <x:v>1</x:v>
      </x:c>
    </x:row>
    <x:row r="7" ht="32" customHeight="1">
      <x:c r="A7" s="11" t="str">
        <x:v>Supplier</x:v>
      </x:c>
      <x:c r="B7" s="11" t="str">
        <x:v>Quality (0-100)</x:v>
      </x:c>
      <x:c r="C7" s="11" t="str">
        <x:v>On-time (0-100)</x:v>
      </x:c>
      <x:c r="D7" s="11" t="str">
        <x:v>Cost (0-100)</x:v>
      </x:c>
      <x:c r="E7" s="11" t="str">
        <x:v>Response (0-100)</x:v>
      </x:c>
      <x:c r="F7" s="11" t="str">
        <x:v>Weighted score</x:v>
      </x:c>
      <x:c r="G7" s="11" t="str">
        <x:v>Band</x:v>
      </x:c>
      <x:c r="H7" s="11" t="str">
        <x:v>Suggested action</x:v>
      </x:c>
      <x:c r="I7" s="1"/>
      <x:c r="J7" s="1"/>
      <x:c r="K7" s="12" t="str">
        <x:v>Incomplete scores</x:v>
      </x:c>
      <x:c r="L7" s="1" t="n">
        <x:f>COUNTIF(G8:G57,"Incomplete")</x:f>
        <x:v>0</x:v>
      </x:c>
    </x:row>
    <x:row r="8">
      <x:c r="A8" s="4" t="str">
        <x:v>Northstar Components</x:v>
      </x:c>
      <x:c r="B8" s="4" t="n">
        <x:v>92</x:v>
      </x:c>
      <x:c r="C8" s="4" t="n">
        <x:v>86</x:v>
      </x:c>
      <x:c r="D8" s="4" t="n">
        <x:v>78</x:v>
      </x:c>
      <x:c r="E8" s="4" t="n">
        <x:v>90</x:v>
      </x:c>
      <x:c r="F8" s="14" t="n">
        <x:f>IFERROR(IF(A8="","",IF(COUNT(B8:E8)&lt;4,"",B8*$B$4+C8*$C$4+D8*$D$4+E8*$E$4)),"")</x:f>
        <x:v>86.5</x:v>
      </x:c>
      <x:c r="G8" s="5" t="str">
        <x:f>IFERROR(IF(A8="","",IF(COUNT(B8:E8)&lt;4,"Incomplete",IF(F8&gt;=85,"Strong",IF(F8&gt;=70,"Monitor","Needs action")))),"")</x:f>
        <x:v>Strong</x:v>
      </x:c>
      <x:c r="H8" s="5" t="str">
        <x:f>IFERROR(IF(A8="","",IF(G8="Incomplete","Complete all four scores",IF(F8&gt;=85,"Maintain / develop",IF(F8&gt;=70,"Agree improvement actions","Escalate review"))),""))</x:f>
        <x:v>Maintain / develop</x:v>
      </x:c>
      <x:c r="I8" s="1"/>
      <x:c r="J8" s="1"/>
      <x:c r="K8" s="12" t="str">
        <x:v>Weight check</x:v>
      </x:c>
      <x:c r="L8" s="1" t="str">
        <x:f>IF(ABS(B5-1)&lt;0.0001,"Weights total 100%","Adjust weights to 100%")</x:f>
        <x:v>Weights total 100%</x:v>
      </x:c>
    </x:row>
    <x:row r="9">
      <x:c r="A9" s="4" t="str">
        <x:v>Blue Harbor Parts</x:v>
      </x:c>
      <x:c r="B9" s="4" t="n">
        <x:v>78</x:v>
      </x:c>
      <x:c r="C9" s="4" t="n">
        <x:v>72</x:v>
      </x:c>
      <x:c r="D9" s="4" t="n">
        <x:v>90</x:v>
      </x:c>
      <x:c r="E9" s="4" t="n">
        <x:v>76</x:v>
      </x:c>
      <x:c r="F9" s="14" t="n">
        <x:f>IFERROR(IF(A9="","",IF(COUNT(B9:E9)&lt;4,"",B9*$B$4+C9*$C$4+D9*$D$4+E9*$E$4)),"")</x:f>
        <x:v>79</x:v>
      </x:c>
      <x:c r="G9" s="5" t="str">
        <x:f>IFERROR(IF(A9="","",IF(COUNT(B9:E9)&lt;4,"Incomplete",IF(F9&gt;=85,"Strong",IF(F9&gt;=70,"Monitor","Needs action")))),"")</x:f>
        <x:v>Monitor</x:v>
      </x:c>
      <x:c r="H9" s="5" t="str">
        <x:f>IFERROR(IF(A9="","",IF(G9="Incomplete","Complete all four scores",IF(F9&gt;=85,"Maintain / develop",IF(F9&gt;=70,"Agree improvement actions","Escalate review"))),""))</x:f>
        <x:v>Agree improvement actions</x:v>
      </x:c>
      <x:c r="I9" s="1"/>
      <x:c r="J9" s="1"/>
      <x:c r="K9" s="1"/>
      <x:c r="L9" s="1"/>
    </x:row>
    <x:row r="10">
      <x:c r="A10" s="4" t="str">
        <x:v>Meridian Packaging</x:v>
      </x:c>
      <x:c r="B10" s="4" t="n">
        <x:v>88</x:v>
      </x:c>
      <x:c r="C10" s="4" t="n">
        <x:v>94</x:v>
      </x:c>
      <x:c r="D10" s="4" t="n">
        <x:v>82</x:v>
      </x:c>
      <x:c r="E10" s="4" t="n">
        <x:v>85</x:v>
      </x:c>
      <x:c r="F10" s="14" t="n">
        <x:f>IFERROR(IF(A10="","",IF(COUNT(B10:E10)&lt;4,"",B10*$B$4+C10*$C$4+D10*$D$4+E10*$E$4)),"")</x:f>
        <x:v>87.25</x:v>
      </x:c>
      <x:c r="G10" s="5" t="str">
        <x:f>IFERROR(IF(A10="","",IF(COUNT(B10:E10)&lt;4,"Incomplete",IF(F10&gt;=85,"Strong",IF(F10&gt;=70,"Monitor","Needs action")))),"")</x:f>
        <x:v>Strong</x:v>
      </x:c>
      <x:c r="H10" s="5" t="str">
        <x:f>IFERROR(IF(A10="","",IF(G10="Incomplete","Complete all four scores",IF(F10&gt;=85,"Maintain / develop",IF(F10&gt;=70,"Agree improvement actions","Escalate review"))),""))</x:f>
        <x:v>Maintain / develop</x:v>
      </x:c>
      <x:c r="I10" s="1"/>
      <x:c r="J10" s="1"/>
      <x:c r="K10" s="1"/>
      <x:c r="L10" s="1"/>
    </x:row>
    <x:row r="11">
      <x:c r="A11" s="4" t="str">
        <x:v>Crescent Industrial</x:v>
      </x:c>
      <x:c r="B11" s="4" t="n">
        <x:v>65</x:v>
      </x:c>
      <x:c r="C11" s="4" t="n">
        <x:v>80</x:v>
      </x:c>
      <x:c r="D11" s="4" t="n">
        <x:v>74</x:v>
      </x:c>
      <x:c r="E11" s="4" t="n">
        <x:v>60</x:v>
      </x:c>
      <x:c r="F11" s="14" t="n">
        <x:f>IFERROR(IF(A11="","",IF(COUNT(B11:E11)&lt;4,"",B11*$B$4+C11*$C$4+D11*$D$4+E11*$E$4)),"")</x:f>
        <x:v>69.75</x:v>
      </x:c>
      <x:c r="G11" s="5" t="str">
        <x:f>IFERROR(IF(A11="","",IF(COUNT(B11:E11)&lt;4,"Incomplete",IF(F11&gt;=85,"Strong",IF(F11&gt;=70,"Monitor","Needs action")))),"")</x:f>
        <x:v>Needs action</x:v>
      </x:c>
      <x:c r="H11" s="5" t="str">
        <x:f>IFERROR(IF(A11="","",IF(G11="Incomplete","Complete all four scores",IF(F11&gt;=85,"Maintain / develop",IF(F11&gt;=70,"Agree improvement actions","Escalate review"))),""))</x:f>
        <x:v>Escalate review</x:v>
      </x:c>
      <x:c r="I11" s="1"/>
      <x:c r="J11" s="1"/>
      <x:c r="K11" s="1"/>
      <x:c r="L11" s="1"/>
    </x:row>
    <x:row r="12">
      <x:c r="A12" s="4"/>
      <x:c r="B12" s="4"/>
      <x:c r="C12" s="4"/>
      <x:c r="D12" s="4"/>
      <x:c r="E12" s="4"/>
      <x:c r="F12" s="14" t="str">
        <x:f>IFERROR(IF(A12="","",IF(COUNT(B12:E12)&lt;4,"",B12*$B$4+C12*$C$4+D12*$D$4+E12*$E$4)),"")</x:f>
      </x:c>
      <x:c r="G12" s="5" t="str">
        <x:f>IFERROR(IF(A12="","",IF(COUNT(B12:E12)&lt;4,"Incomplete",IF(F12&gt;=85,"Strong",IF(F12&gt;=70,"Monitor","Needs action")))),"")</x:f>
      </x:c>
      <x:c r="H12" s="5" t="str">
        <x:f>IFERROR(IF(A12="","",IF(G12="Incomplete","Complete all four scores",IF(F12&gt;=85,"Maintain / develop",IF(F12&gt;=70,"Agree improvement actions","Escalate review"))),""))</x:f>
      </x:c>
      <x:c r="I12" s="1"/>
      <x:c r="J12" s="1"/>
      <x:c r="K12" s="1"/>
      <x:c r="L12" s="1"/>
    </x:row>
    <x:row r="13">
      <x:c r="A13" s="4"/>
      <x:c r="B13" s="4"/>
      <x:c r="C13" s="4"/>
      <x:c r="D13" s="4"/>
      <x:c r="E13" s="4"/>
      <x:c r="F13" s="14" t="str">
        <x:f>IFERROR(IF(A13="","",IF(COUNT(B13:E13)&lt;4,"",B13*$B$4+C13*$C$4+D13*$D$4+E13*$E$4)),"")</x:f>
      </x:c>
      <x:c r="G13" s="5" t="str">
        <x:f>IFERROR(IF(A13="","",IF(COUNT(B13:E13)&lt;4,"Incomplete",IF(F13&gt;=85,"Strong",IF(F13&gt;=70,"Monitor","Needs action")))),"")</x:f>
      </x:c>
      <x:c r="H13" s="5" t="str">
        <x:f>IFERROR(IF(A13="","",IF(G13="Incomplete","Complete all four scores",IF(F13&gt;=85,"Maintain / develop",IF(F13&gt;=70,"Agree improvement actions","Escalate review"))),""))</x:f>
      </x:c>
      <x:c r="I13" s="1"/>
      <x:c r="J13" s="1"/>
      <x:c r="K13" s="1"/>
      <x:c r="L13" s="1"/>
    </x:row>
    <x:row r="14">
      <x:c r="A14" s="4"/>
      <x:c r="B14" s="4"/>
      <x:c r="C14" s="4"/>
      <x:c r="D14" s="4"/>
      <x:c r="E14" s="4"/>
      <x:c r="F14" s="14" t="str">
        <x:f>IFERROR(IF(A14="","",IF(COUNT(B14:E14)&lt;4,"",B14*$B$4+C14*$C$4+D14*$D$4+E14*$E$4)),"")</x:f>
      </x:c>
      <x:c r="G14" s="5" t="str">
        <x:f>IFERROR(IF(A14="","",IF(COUNT(B14:E14)&lt;4,"Incomplete",IF(F14&gt;=85,"Strong",IF(F14&gt;=70,"Monitor","Needs action")))),"")</x:f>
      </x:c>
      <x:c r="H14" s="5" t="str">
        <x:f>IFERROR(IF(A14="","",IF(G14="Incomplete","Complete all four scores",IF(F14&gt;=85,"Maintain / develop",IF(F14&gt;=70,"Agree improvement actions","Escalate review"))),""))</x:f>
      </x:c>
      <x:c r="I14" s="1"/>
      <x:c r="J14" s="1"/>
      <x:c r="K14" s="1"/>
      <x:c r="L14" s="1"/>
    </x:row>
    <x:row r="15">
      <x:c r="A15" s="4"/>
      <x:c r="B15" s="4"/>
      <x:c r="C15" s="4"/>
      <x:c r="D15" s="4"/>
      <x:c r="E15" s="4"/>
      <x:c r="F15" s="14" t="str">
        <x:f>IFERROR(IF(A15="","",IF(COUNT(B15:E15)&lt;4,"",B15*$B$4+C15*$C$4+D15*$D$4+E15*$E$4)),"")</x:f>
      </x:c>
      <x:c r="G15" s="5" t="str">
        <x:f>IFERROR(IF(A15="","",IF(COUNT(B15:E15)&lt;4,"Incomplete",IF(F15&gt;=85,"Strong",IF(F15&gt;=70,"Monitor","Needs action")))),"")</x:f>
      </x:c>
      <x:c r="H15" s="5" t="str">
        <x:f>IFERROR(IF(A15="","",IF(G15="Incomplete","Complete all four scores",IF(F15&gt;=85,"Maintain / develop",IF(F15&gt;=70,"Agree improvement actions","Escalate review"))),""))</x:f>
      </x:c>
      <x:c r="I15" s="1"/>
      <x:c r="J15" s="1"/>
      <x:c r="K15" s="1"/>
      <x:c r="L15" s="1"/>
    </x:row>
    <x:row r="16">
      <x:c r="A16" s="4"/>
      <x:c r="B16" s="4"/>
      <x:c r="C16" s="4"/>
      <x:c r="D16" s="4"/>
      <x:c r="E16" s="4"/>
      <x:c r="F16" s="14" t="str">
        <x:f>IFERROR(IF(A16="","",IF(COUNT(B16:E16)&lt;4,"",B16*$B$4+C16*$C$4+D16*$D$4+E16*$E$4)),"")</x:f>
      </x:c>
      <x:c r="G16" s="5" t="str">
        <x:f>IFERROR(IF(A16="","",IF(COUNT(B16:E16)&lt;4,"Incomplete",IF(F16&gt;=85,"Strong",IF(F16&gt;=70,"Monitor","Needs action")))),"")</x:f>
      </x:c>
      <x:c r="H16" s="5" t="str">
        <x:f>IFERROR(IF(A16="","",IF(G16="Incomplete","Complete all four scores",IF(F16&gt;=85,"Maintain / develop",IF(F16&gt;=70,"Agree improvement actions","Escalate review"))),""))</x:f>
      </x:c>
      <x:c r="I16" s="1"/>
      <x:c r="J16" s="1"/>
      <x:c r="K16" s="1"/>
      <x:c r="L16" s="1"/>
    </x:row>
    <x:row r="17">
      <x:c r="A17" s="4"/>
      <x:c r="B17" s="4"/>
      <x:c r="C17" s="4"/>
      <x:c r="D17" s="4"/>
      <x:c r="E17" s="4"/>
      <x:c r="F17" s="14" t="str">
        <x:f>IFERROR(IF(A17="","",IF(COUNT(B17:E17)&lt;4,"",B17*$B$4+C17*$C$4+D17*$D$4+E17*$E$4)),"")</x:f>
      </x:c>
      <x:c r="G17" s="5" t="str">
        <x:f>IFERROR(IF(A17="","",IF(COUNT(B17:E17)&lt;4,"Incomplete",IF(F17&gt;=85,"Strong",IF(F17&gt;=70,"Monitor","Needs action")))),"")</x:f>
      </x:c>
      <x:c r="H17" s="5" t="str">
        <x:f>IFERROR(IF(A17="","",IF(G17="Incomplete","Complete all four scores",IF(F17&gt;=85,"Maintain / develop",IF(F17&gt;=70,"Agree improvement actions","Escalate review"))),""))</x:f>
      </x:c>
      <x:c r="I17" s="1"/>
      <x:c r="J17" s="1"/>
      <x:c r="K17" s="1"/>
      <x:c r="L17" s="1"/>
    </x:row>
    <x:row r="18">
      <x:c r="A18" s="4"/>
      <x:c r="B18" s="4"/>
      <x:c r="C18" s="4"/>
      <x:c r="D18" s="4"/>
      <x:c r="E18" s="4"/>
      <x:c r="F18" s="14" t="str">
        <x:f>IFERROR(IF(A18="","",IF(COUNT(B18:E18)&lt;4,"",B18*$B$4+C18*$C$4+D18*$D$4+E18*$E$4)),"")</x:f>
      </x:c>
      <x:c r="G18" s="5" t="str">
        <x:f>IFERROR(IF(A18="","",IF(COUNT(B18:E18)&lt;4,"Incomplete",IF(F18&gt;=85,"Strong",IF(F18&gt;=70,"Monitor","Needs action")))),"")</x:f>
      </x:c>
      <x:c r="H18" s="5" t="str">
        <x:f>IFERROR(IF(A18="","",IF(G18="Incomplete","Complete all four scores",IF(F18&gt;=85,"Maintain / develop",IF(F18&gt;=70,"Agree improvement actions","Escalate review"))),""))</x:f>
      </x:c>
      <x:c r="I18" s="1"/>
      <x:c r="J18" s="1"/>
      <x:c r="K18" s="1"/>
      <x:c r="L18" s="1"/>
    </x:row>
    <x:row r="19">
      <x:c r="A19" s="4"/>
      <x:c r="B19" s="4"/>
      <x:c r="C19" s="4"/>
      <x:c r="D19" s="4"/>
      <x:c r="E19" s="4"/>
      <x:c r="F19" s="14" t="str">
        <x:f>IFERROR(IF(A19="","",IF(COUNT(B19:E19)&lt;4,"",B19*$B$4+C19*$C$4+D19*$D$4+E19*$E$4)),"")</x:f>
      </x:c>
      <x:c r="G19" s="5" t="str">
        <x:f>IFERROR(IF(A19="","",IF(COUNT(B19:E19)&lt;4,"Incomplete",IF(F19&gt;=85,"Strong",IF(F19&gt;=70,"Monitor","Needs action")))),"")</x:f>
      </x:c>
      <x:c r="H19" s="5" t="str">
        <x:f>IFERROR(IF(A19="","",IF(G19="Incomplete","Complete all four scores",IF(F19&gt;=85,"Maintain / develop",IF(F19&gt;=70,"Agree improvement actions","Escalate review"))),""))</x:f>
      </x:c>
      <x:c r="I19" s="1"/>
      <x:c r="J19" s="1"/>
      <x:c r="K19" s="1"/>
      <x:c r="L19" s="1"/>
    </x:row>
    <x:row r="20">
      <x:c r="A20" s="4"/>
      <x:c r="B20" s="4"/>
      <x:c r="C20" s="4"/>
      <x:c r="D20" s="4"/>
      <x:c r="E20" s="4"/>
      <x:c r="F20" s="14" t="str">
        <x:f>IFERROR(IF(A20="","",IF(COUNT(B20:E20)&lt;4,"",B20*$B$4+C20*$C$4+D20*$D$4+E20*$E$4)),"")</x:f>
      </x:c>
      <x:c r="G20" s="5" t="str">
        <x:f>IFERROR(IF(A20="","",IF(COUNT(B20:E20)&lt;4,"Incomplete",IF(F20&gt;=85,"Strong",IF(F20&gt;=70,"Monitor","Needs action")))),"")</x:f>
      </x:c>
      <x:c r="H20" s="5" t="str">
        <x:f>IFERROR(IF(A20="","",IF(G20="Incomplete","Complete all four scores",IF(F20&gt;=85,"Maintain / develop",IF(F20&gt;=70,"Agree improvement actions","Escalate review"))),""))</x:f>
      </x:c>
      <x:c r="I20" s="1"/>
      <x:c r="J20" s="1"/>
      <x:c r="K20" s="1"/>
      <x:c r="L20" s="1"/>
    </x:row>
    <x:row r="21">
      <x:c r="A21" s="4"/>
      <x:c r="B21" s="4"/>
      <x:c r="C21" s="4"/>
      <x:c r="D21" s="4"/>
      <x:c r="E21" s="4"/>
      <x:c r="F21" s="14" t="str">
        <x:f>IFERROR(IF(A21="","",IF(COUNT(B21:E21)&lt;4,"",B21*$B$4+C21*$C$4+D21*$D$4+E21*$E$4)),"")</x:f>
      </x:c>
      <x:c r="G21" s="5" t="str">
        <x:f>IFERROR(IF(A21="","",IF(COUNT(B21:E21)&lt;4,"Incomplete",IF(F21&gt;=85,"Strong",IF(F21&gt;=70,"Monitor","Needs action")))),"")</x:f>
      </x:c>
      <x:c r="H21" s="5" t="str">
        <x:f>IFERROR(IF(A21="","",IF(G21="Incomplete","Complete all four scores",IF(F21&gt;=85,"Maintain / develop",IF(F21&gt;=70,"Agree improvement actions","Escalate review"))),""))</x:f>
      </x:c>
      <x:c r="I21" s="1"/>
      <x:c r="J21" s="1"/>
      <x:c r="K21" s="1"/>
      <x:c r="L21" s="1"/>
    </x:row>
    <x:row r="22">
      <x:c r="A22" s="4"/>
      <x:c r="B22" s="4"/>
      <x:c r="C22" s="4"/>
      <x:c r="D22" s="4"/>
      <x:c r="E22" s="4"/>
      <x:c r="F22" s="14" t="str">
        <x:f>IFERROR(IF(A22="","",IF(COUNT(B22:E22)&lt;4,"",B22*$B$4+C22*$C$4+D22*$D$4+E22*$E$4)),"")</x:f>
      </x:c>
      <x:c r="G22" s="5" t="str">
        <x:f>IFERROR(IF(A22="","",IF(COUNT(B22:E22)&lt;4,"Incomplete",IF(F22&gt;=85,"Strong",IF(F22&gt;=70,"Monitor","Needs action")))),"")</x:f>
      </x:c>
      <x:c r="H22" s="5" t="str">
        <x:f>IFERROR(IF(A22="","",IF(G22="Incomplete","Complete all four scores",IF(F22&gt;=85,"Maintain / develop",IF(F22&gt;=70,"Agree improvement actions","Escalate review"))),""))</x:f>
      </x:c>
      <x:c r="I22" s="1"/>
      <x:c r="J22" s="1"/>
      <x:c r="K22" s="1"/>
      <x:c r="L22" s="1"/>
    </x:row>
    <x:row r="23">
      <x:c r="A23" s="4"/>
      <x:c r="B23" s="4"/>
      <x:c r="C23" s="4"/>
      <x:c r="D23" s="4"/>
      <x:c r="E23" s="4"/>
      <x:c r="F23" s="14" t="str">
        <x:f>IFERROR(IF(A23="","",IF(COUNT(B23:E23)&lt;4,"",B23*$B$4+C23*$C$4+D23*$D$4+E23*$E$4)),"")</x:f>
      </x:c>
      <x:c r="G23" s="5" t="str">
        <x:f>IFERROR(IF(A23="","",IF(COUNT(B23:E23)&lt;4,"Incomplete",IF(F23&gt;=85,"Strong",IF(F23&gt;=70,"Monitor","Needs action")))),"")</x:f>
      </x:c>
      <x:c r="H23" s="5" t="str">
        <x:f>IFERROR(IF(A23="","",IF(G23="Incomplete","Complete all four scores",IF(F23&gt;=85,"Maintain / develop",IF(F23&gt;=70,"Agree improvement actions","Escalate review"))),""))</x:f>
      </x:c>
      <x:c r="I23" s="1"/>
      <x:c r="J23" s="1"/>
      <x:c r="K23" s="1"/>
      <x:c r="L23" s="1"/>
    </x:row>
    <x:row r="24">
      <x:c r="A24" s="4"/>
      <x:c r="B24" s="4"/>
      <x:c r="C24" s="4"/>
      <x:c r="D24" s="4"/>
      <x:c r="E24" s="4"/>
      <x:c r="F24" s="14" t="str">
        <x:f>IFERROR(IF(A24="","",IF(COUNT(B24:E24)&lt;4,"",B24*$B$4+C24*$C$4+D24*$D$4+E24*$E$4)),"")</x:f>
      </x:c>
      <x:c r="G24" s="5" t="str">
        <x:f>IFERROR(IF(A24="","",IF(COUNT(B24:E24)&lt;4,"Incomplete",IF(F24&gt;=85,"Strong",IF(F24&gt;=70,"Monitor","Needs action")))),"")</x:f>
      </x:c>
      <x:c r="H24" s="5" t="str">
        <x:f>IFERROR(IF(A24="","",IF(G24="Incomplete","Complete all four scores",IF(F24&gt;=85,"Maintain / develop",IF(F24&gt;=70,"Agree improvement actions","Escalate review"))),""))</x:f>
      </x:c>
      <x:c r="I24" s="1"/>
      <x:c r="J24" s="1"/>
      <x:c r="K24" s="1"/>
      <x:c r="L24" s="1"/>
    </x:row>
    <x:row r="25">
      <x:c r="A25" s="4"/>
      <x:c r="B25" s="4"/>
      <x:c r="C25" s="4"/>
      <x:c r="D25" s="4"/>
      <x:c r="E25" s="4"/>
      <x:c r="F25" s="14" t="str">
        <x:f>IFERROR(IF(A25="","",IF(COUNT(B25:E25)&lt;4,"",B25*$B$4+C25*$C$4+D25*$D$4+E25*$E$4)),"")</x:f>
      </x:c>
      <x:c r="G25" s="5" t="str">
        <x:f>IFERROR(IF(A25="","",IF(COUNT(B25:E25)&lt;4,"Incomplete",IF(F25&gt;=85,"Strong",IF(F25&gt;=70,"Monitor","Needs action")))),"")</x:f>
      </x:c>
      <x:c r="H25" s="5" t="str">
        <x:f>IFERROR(IF(A25="","",IF(G25="Incomplete","Complete all four scores",IF(F25&gt;=85,"Maintain / develop",IF(F25&gt;=70,"Agree improvement actions","Escalate review"))),""))</x:f>
      </x:c>
      <x:c r="I25" s="1"/>
      <x:c r="J25" s="1"/>
      <x:c r="K25" s="1"/>
      <x:c r="L25" s="1"/>
    </x:row>
    <x:row r="26">
      <x:c r="A26" s="4"/>
      <x:c r="B26" s="4"/>
      <x:c r="C26" s="4"/>
      <x:c r="D26" s="4"/>
      <x:c r="E26" s="4"/>
      <x:c r="F26" s="14" t="str">
        <x:f>IFERROR(IF(A26="","",IF(COUNT(B26:E26)&lt;4,"",B26*$B$4+C26*$C$4+D26*$D$4+E26*$E$4)),"")</x:f>
      </x:c>
      <x:c r="G26" s="5" t="str">
        <x:f>IFERROR(IF(A26="","",IF(COUNT(B26:E26)&lt;4,"Incomplete",IF(F26&gt;=85,"Strong",IF(F26&gt;=70,"Monitor","Needs action")))),"")</x:f>
      </x:c>
      <x:c r="H26" s="5" t="str">
        <x:f>IFERROR(IF(A26="","",IF(G26="Incomplete","Complete all four scores",IF(F26&gt;=85,"Maintain / develop",IF(F26&gt;=70,"Agree improvement actions","Escalate review"))),""))</x:f>
      </x:c>
      <x:c r="I26" s="1"/>
      <x:c r="J26" s="1"/>
      <x:c r="K26" s="1"/>
      <x:c r="L26" s="1"/>
    </x:row>
    <x:row r="27">
      <x:c r="A27" s="4"/>
      <x:c r="B27" s="4"/>
      <x:c r="C27" s="4"/>
      <x:c r="D27" s="4"/>
      <x:c r="E27" s="4"/>
      <x:c r="F27" s="14" t="str">
        <x:f>IFERROR(IF(A27="","",IF(COUNT(B27:E27)&lt;4,"",B27*$B$4+C27*$C$4+D27*$D$4+E27*$E$4)),"")</x:f>
      </x:c>
      <x:c r="G27" s="5" t="str">
        <x:f>IFERROR(IF(A27="","",IF(COUNT(B27:E27)&lt;4,"Incomplete",IF(F27&gt;=85,"Strong",IF(F27&gt;=70,"Monitor","Needs action")))),"")</x:f>
      </x:c>
      <x:c r="H27" s="5" t="str">
        <x:f>IFERROR(IF(A27="","",IF(G27="Incomplete","Complete all four scores",IF(F27&gt;=85,"Maintain / develop",IF(F27&gt;=70,"Agree improvement actions","Escalate review"))),""))</x:f>
      </x:c>
      <x:c r="I27" s="1"/>
      <x:c r="J27" s="1"/>
      <x:c r="K27" s="1"/>
      <x:c r="L27" s="1"/>
    </x:row>
    <x:row r="28">
      <x:c r="A28" s="4"/>
      <x:c r="B28" s="4"/>
      <x:c r="C28" s="4"/>
      <x:c r="D28" s="4"/>
      <x:c r="E28" s="4"/>
      <x:c r="F28" s="14" t="str">
        <x:f>IFERROR(IF(A28="","",IF(COUNT(B28:E28)&lt;4,"",B28*$B$4+C28*$C$4+D28*$D$4+E28*$E$4)),"")</x:f>
      </x:c>
      <x:c r="G28" s="5" t="str">
        <x:f>IFERROR(IF(A28="","",IF(COUNT(B28:E28)&lt;4,"Incomplete",IF(F28&gt;=85,"Strong",IF(F28&gt;=70,"Monitor","Needs action")))),"")</x:f>
      </x:c>
      <x:c r="H28" s="5" t="str">
        <x:f>IFERROR(IF(A28="","",IF(G28="Incomplete","Complete all four scores",IF(F28&gt;=85,"Maintain / develop",IF(F28&gt;=70,"Agree improvement actions","Escalate review"))),""))</x:f>
      </x:c>
      <x:c r="I28" s="1"/>
      <x:c r="J28" s="1"/>
      <x:c r="K28" s="1"/>
      <x:c r="L28" s="1"/>
    </x:row>
    <x:row r="29">
      <x:c r="A29" s="4"/>
      <x:c r="B29" s="4"/>
      <x:c r="C29" s="4"/>
      <x:c r="D29" s="4"/>
      <x:c r="E29" s="4"/>
      <x:c r="F29" s="14" t="str">
        <x:f>IFERROR(IF(A29="","",IF(COUNT(B29:E29)&lt;4,"",B29*$B$4+C29*$C$4+D29*$D$4+E29*$E$4)),"")</x:f>
      </x:c>
      <x:c r="G29" s="5" t="str">
        <x:f>IFERROR(IF(A29="","",IF(COUNT(B29:E29)&lt;4,"Incomplete",IF(F29&gt;=85,"Strong",IF(F29&gt;=70,"Monitor","Needs action")))),"")</x:f>
      </x:c>
      <x:c r="H29" s="5" t="str">
        <x:f>IFERROR(IF(A29="","",IF(G29="Incomplete","Complete all four scores",IF(F29&gt;=85,"Maintain / develop",IF(F29&gt;=70,"Agree improvement actions","Escalate review"))),""))</x:f>
      </x:c>
      <x:c r="I29" s="1"/>
      <x:c r="J29" s="1"/>
      <x:c r="K29" s="1"/>
      <x:c r="L29" s="1"/>
    </x:row>
    <x:row r="30">
      <x:c r="A30" s="4"/>
      <x:c r="B30" s="4"/>
      <x:c r="C30" s="4"/>
      <x:c r="D30" s="4"/>
      <x:c r="E30" s="4"/>
      <x:c r="F30" s="14" t="str">
        <x:f>IFERROR(IF(A30="","",IF(COUNT(B30:E30)&lt;4,"",B30*$B$4+C30*$C$4+D30*$D$4+E30*$E$4)),"")</x:f>
      </x:c>
      <x:c r="G30" s="5" t="str">
        <x:f>IFERROR(IF(A30="","",IF(COUNT(B30:E30)&lt;4,"Incomplete",IF(F30&gt;=85,"Strong",IF(F30&gt;=70,"Monitor","Needs action")))),"")</x:f>
      </x:c>
      <x:c r="H30" s="5" t="str">
        <x:f>IFERROR(IF(A30="","",IF(G30="Incomplete","Complete all four scores",IF(F30&gt;=85,"Maintain / develop",IF(F30&gt;=70,"Agree improvement actions","Escalate review"))),""))</x:f>
      </x:c>
      <x:c r="I30" s="1"/>
      <x:c r="J30" s="1"/>
      <x:c r="K30" s="1"/>
      <x:c r="L30" s="1"/>
    </x:row>
    <x:row r="31">
      <x:c r="A31" s="4"/>
      <x:c r="B31" s="4"/>
      <x:c r="C31" s="4"/>
      <x:c r="D31" s="4"/>
      <x:c r="E31" s="4"/>
      <x:c r="F31" s="14" t="str">
        <x:f>IFERROR(IF(A31="","",IF(COUNT(B31:E31)&lt;4,"",B31*$B$4+C31*$C$4+D31*$D$4+E31*$E$4)),"")</x:f>
      </x:c>
      <x:c r="G31" s="5" t="str">
        <x:f>IFERROR(IF(A31="","",IF(COUNT(B31:E31)&lt;4,"Incomplete",IF(F31&gt;=85,"Strong",IF(F31&gt;=70,"Monitor","Needs action")))),"")</x:f>
      </x:c>
      <x:c r="H31" s="5" t="str">
        <x:f>IFERROR(IF(A31="","",IF(G31="Incomplete","Complete all four scores",IF(F31&gt;=85,"Maintain / develop",IF(F31&gt;=70,"Agree improvement actions","Escalate review"))),""))</x:f>
      </x:c>
      <x:c r="I31" s="1"/>
      <x:c r="J31" s="1"/>
      <x:c r="K31" s="1"/>
      <x:c r="L31" s="1"/>
    </x:row>
    <x:row r="32">
      <x:c r="A32" s="4"/>
      <x:c r="B32" s="4"/>
      <x:c r="C32" s="4"/>
      <x:c r="D32" s="4"/>
      <x:c r="E32" s="4"/>
      <x:c r="F32" s="14" t="str">
        <x:f>IFERROR(IF(A32="","",IF(COUNT(B32:E32)&lt;4,"",B32*$B$4+C32*$C$4+D32*$D$4+E32*$E$4)),"")</x:f>
      </x:c>
      <x:c r="G32" s="5" t="str">
        <x:f>IFERROR(IF(A32="","",IF(COUNT(B32:E32)&lt;4,"Incomplete",IF(F32&gt;=85,"Strong",IF(F32&gt;=70,"Monitor","Needs action")))),"")</x:f>
      </x:c>
      <x:c r="H32" s="5" t="str">
        <x:f>IFERROR(IF(A32="","",IF(G32="Incomplete","Complete all four scores",IF(F32&gt;=85,"Maintain / develop",IF(F32&gt;=70,"Agree improvement actions","Escalate review"))),""))</x:f>
      </x:c>
      <x:c r="I32" s="1"/>
      <x:c r="J32" s="1"/>
      <x:c r="K32" s="1"/>
      <x:c r="L32" s="1"/>
    </x:row>
    <x:row r="33">
      <x:c r="A33" s="4"/>
      <x:c r="B33" s="4"/>
      <x:c r="C33" s="4"/>
      <x:c r="D33" s="4"/>
      <x:c r="E33" s="4"/>
      <x:c r="F33" s="14" t="str">
        <x:f>IFERROR(IF(A33="","",IF(COUNT(B33:E33)&lt;4,"",B33*$B$4+C33*$C$4+D33*$D$4+E33*$E$4)),"")</x:f>
      </x:c>
      <x:c r="G33" s="5" t="str">
        <x:f>IFERROR(IF(A33="","",IF(COUNT(B33:E33)&lt;4,"Incomplete",IF(F33&gt;=85,"Strong",IF(F33&gt;=70,"Monitor","Needs action")))),"")</x:f>
      </x:c>
      <x:c r="H33" s="5" t="str">
        <x:f>IFERROR(IF(A33="","",IF(G33="Incomplete","Complete all four scores",IF(F33&gt;=85,"Maintain / develop",IF(F33&gt;=70,"Agree improvement actions","Escalate review"))),""))</x:f>
      </x:c>
      <x:c r="I33" s="1"/>
      <x:c r="J33" s="1"/>
      <x:c r="K33" s="1"/>
      <x:c r="L33" s="1"/>
    </x:row>
    <x:row r="34">
      <x:c r="A34" s="4"/>
      <x:c r="B34" s="4"/>
      <x:c r="C34" s="4"/>
      <x:c r="D34" s="4"/>
      <x:c r="E34" s="4"/>
      <x:c r="F34" s="14" t="str">
        <x:f>IFERROR(IF(A34="","",IF(COUNT(B34:E34)&lt;4,"",B34*$B$4+C34*$C$4+D34*$D$4+E34*$E$4)),"")</x:f>
      </x:c>
      <x:c r="G34" s="5" t="str">
        <x:f>IFERROR(IF(A34="","",IF(COUNT(B34:E34)&lt;4,"Incomplete",IF(F34&gt;=85,"Strong",IF(F34&gt;=70,"Monitor","Needs action")))),"")</x:f>
      </x:c>
      <x:c r="H34" s="5" t="str">
        <x:f>IFERROR(IF(A34="","",IF(G34="Incomplete","Complete all four scores",IF(F34&gt;=85,"Maintain / develop",IF(F34&gt;=70,"Agree improvement actions","Escalate review"))),""))</x:f>
      </x:c>
      <x:c r="I34" s="1"/>
      <x:c r="J34" s="1"/>
      <x:c r="K34" s="1"/>
      <x:c r="L34" s="1"/>
    </x:row>
    <x:row r="35">
      <x:c r="A35" s="4"/>
      <x:c r="B35" s="4"/>
      <x:c r="C35" s="4"/>
      <x:c r="D35" s="4"/>
      <x:c r="E35" s="4"/>
      <x:c r="F35" s="14" t="str">
        <x:f>IFERROR(IF(A35="","",IF(COUNT(B35:E35)&lt;4,"",B35*$B$4+C35*$C$4+D35*$D$4+E35*$E$4)),"")</x:f>
      </x:c>
      <x:c r="G35" s="5" t="str">
        <x:f>IFERROR(IF(A35="","",IF(COUNT(B35:E35)&lt;4,"Incomplete",IF(F35&gt;=85,"Strong",IF(F35&gt;=70,"Monitor","Needs action")))),"")</x:f>
      </x:c>
      <x:c r="H35" s="5" t="str">
        <x:f>IFERROR(IF(A35="","",IF(G35="Incomplete","Complete all four scores",IF(F35&gt;=85,"Maintain / develop",IF(F35&gt;=70,"Agree improvement actions","Escalate review"))),""))</x:f>
      </x:c>
      <x:c r="I35" s="1"/>
      <x:c r="J35" s="1"/>
      <x:c r="K35" s="1"/>
      <x:c r="L35" s="1"/>
    </x:row>
    <x:row r="36">
      <x:c r="A36" s="4"/>
      <x:c r="B36" s="4"/>
      <x:c r="C36" s="4"/>
      <x:c r="D36" s="4"/>
      <x:c r="E36" s="4"/>
      <x:c r="F36" s="14" t="str">
        <x:f>IFERROR(IF(A36="","",IF(COUNT(B36:E36)&lt;4,"",B36*$B$4+C36*$C$4+D36*$D$4+E36*$E$4)),"")</x:f>
      </x:c>
      <x:c r="G36" s="5" t="str">
        <x:f>IFERROR(IF(A36="","",IF(COUNT(B36:E36)&lt;4,"Incomplete",IF(F36&gt;=85,"Strong",IF(F36&gt;=70,"Monitor","Needs action")))),"")</x:f>
      </x:c>
      <x:c r="H36" s="5" t="str">
        <x:f>IFERROR(IF(A36="","",IF(G36="Incomplete","Complete all four scores",IF(F36&gt;=85,"Maintain / develop",IF(F36&gt;=70,"Agree improvement actions","Escalate review"))),""))</x:f>
      </x:c>
      <x:c r="I36" s="1"/>
      <x:c r="J36" s="1"/>
      <x:c r="K36" s="1"/>
      <x:c r="L36" s="1"/>
    </x:row>
    <x:row r="37">
      <x:c r="A37" s="4"/>
      <x:c r="B37" s="4"/>
      <x:c r="C37" s="4"/>
      <x:c r="D37" s="4"/>
      <x:c r="E37" s="4"/>
      <x:c r="F37" s="14" t="str">
        <x:f>IFERROR(IF(A37="","",IF(COUNT(B37:E37)&lt;4,"",B37*$B$4+C37*$C$4+D37*$D$4+E37*$E$4)),"")</x:f>
      </x:c>
      <x:c r="G37" s="5" t="str">
        <x:f>IFERROR(IF(A37="","",IF(COUNT(B37:E37)&lt;4,"Incomplete",IF(F37&gt;=85,"Strong",IF(F37&gt;=70,"Monitor","Needs action")))),"")</x:f>
      </x:c>
      <x:c r="H37" s="5" t="str">
        <x:f>IFERROR(IF(A37="","",IF(G37="Incomplete","Complete all four scores",IF(F37&gt;=85,"Maintain / develop",IF(F37&gt;=70,"Agree improvement actions","Escalate review"))),""))</x:f>
      </x:c>
      <x:c r="I37" s="1"/>
      <x:c r="J37" s="1"/>
      <x:c r="K37" s="1"/>
      <x:c r="L37" s="1"/>
    </x:row>
    <x:row r="38">
      <x:c r="A38" s="4"/>
      <x:c r="B38" s="4"/>
      <x:c r="C38" s="4"/>
      <x:c r="D38" s="4"/>
      <x:c r="E38" s="4"/>
      <x:c r="F38" s="14" t="str">
        <x:f>IFERROR(IF(A38="","",IF(COUNT(B38:E38)&lt;4,"",B38*$B$4+C38*$C$4+D38*$D$4+E38*$E$4)),"")</x:f>
      </x:c>
      <x:c r="G38" s="5" t="str">
        <x:f>IFERROR(IF(A38="","",IF(COUNT(B38:E38)&lt;4,"Incomplete",IF(F38&gt;=85,"Strong",IF(F38&gt;=70,"Monitor","Needs action")))),"")</x:f>
      </x:c>
      <x:c r="H38" s="5" t="str">
        <x:f>IFERROR(IF(A38="","",IF(G38="Incomplete","Complete all four scores",IF(F38&gt;=85,"Maintain / develop",IF(F38&gt;=70,"Agree improvement actions","Escalate review"))),""))</x:f>
      </x:c>
      <x:c r="I38" s="1"/>
      <x:c r="J38" s="1"/>
      <x:c r="K38" s="1"/>
      <x:c r="L38" s="1"/>
    </x:row>
    <x:row r="39">
      <x:c r="A39" s="4"/>
      <x:c r="B39" s="4"/>
      <x:c r="C39" s="4"/>
      <x:c r="D39" s="4"/>
      <x:c r="E39" s="4"/>
      <x:c r="F39" s="14" t="str">
        <x:f>IFERROR(IF(A39="","",IF(COUNT(B39:E39)&lt;4,"",B39*$B$4+C39*$C$4+D39*$D$4+E39*$E$4)),"")</x:f>
      </x:c>
      <x:c r="G39" s="5" t="str">
        <x:f>IFERROR(IF(A39="","",IF(COUNT(B39:E39)&lt;4,"Incomplete",IF(F39&gt;=85,"Strong",IF(F39&gt;=70,"Monitor","Needs action")))),"")</x:f>
      </x:c>
      <x:c r="H39" s="5" t="str">
        <x:f>IFERROR(IF(A39="","",IF(G39="Incomplete","Complete all four scores",IF(F39&gt;=85,"Maintain / develop",IF(F39&gt;=70,"Agree improvement actions","Escalate review"))),""))</x:f>
      </x:c>
      <x:c r="I39" s="1"/>
      <x:c r="J39" s="1"/>
      <x:c r="K39" s="1"/>
      <x:c r="L39" s="1"/>
    </x:row>
    <x:row r="40">
      <x:c r="A40" s="4"/>
      <x:c r="B40" s="4"/>
      <x:c r="C40" s="4"/>
      <x:c r="D40" s="4"/>
      <x:c r="E40" s="4"/>
      <x:c r="F40" s="14" t="str">
        <x:f>IFERROR(IF(A40="","",IF(COUNT(B40:E40)&lt;4,"",B40*$B$4+C40*$C$4+D40*$D$4+E40*$E$4)),"")</x:f>
      </x:c>
      <x:c r="G40" s="5" t="str">
        <x:f>IFERROR(IF(A40="","",IF(COUNT(B40:E40)&lt;4,"Incomplete",IF(F40&gt;=85,"Strong",IF(F40&gt;=70,"Monitor","Needs action")))),"")</x:f>
      </x:c>
      <x:c r="H40" s="5" t="str">
        <x:f>IFERROR(IF(A40="","",IF(G40="Incomplete","Complete all four scores",IF(F40&gt;=85,"Maintain / develop",IF(F40&gt;=70,"Agree improvement actions","Escalate review"))),""))</x:f>
      </x:c>
      <x:c r="I40" s="1"/>
      <x:c r="J40" s="1"/>
      <x:c r="K40" s="1"/>
      <x:c r="L40" s="1"/>
    </x:row>
    <x:row r="41">
      <x:c r="A41" s="4"/>
      <x:c r="B41" s="4"/>
      <x:c r="C41" s="4"/>
      <x:c r="D41" s="4"/>
      <x:c r="E41" s="4"/>
      <x:c r="F41" s="14" t="str">
        <x:f>IFERROR(IF(A41="","",IF(COUNT(B41:E41)&lt;4,"",B41*$B$4+C41*$C$4+D41*$D$4+E41*$E$4)),"")</x:f>
      </x:c>
      <x:c r="G41" s="5" t="str">
        <x:f>IFERROR(IF(A41="","",IF(COUNT(B41:E41)&lt;4,"Incomplete",IF(F41&gt;=85,"Strong",IF(F41&gt;=70,"Monitor","Needs action")))),"")</x:f>
      </x:c>
      <x:c r="H41" s="5" t="str">
        <x:f>IFERROR(IF(A41="","",IF(G41="Incomplete","Complete all four scores",IF(F41&gt;=85,"Maintain / develop",IF(F41&gt;=70,"Agree improvement actions","Escalate review"))),""))</x:f>
      </x:c>
      <x:c r="I41" s="1"/>
      <x:c r="J41" s="1"/>
      <x:c r="K41" s="1"/>
      <x:c r="L41" s="1"/>
    </x:row>
    <x:row r="42">
      <x:c r="A42" s="4"/>
      <x:c r="B42" s="4"/>
      <x:c r="C42" s="4"/>
      <x:c r="D42" s="4"/>
      <x:c r="E42" s="4"/>
      <x:c r="F42" s="14" t="str">
        <x:f>IFERROR(IF(A42="","",IF(COUNT(B42:E42)&lt;4,"",B42*$B$4+C42*$C$4+D42*$D$4+E42*$E$4)),"")</x:f>
      </x:c>
      <x:c r="G42" s="5" t="str">
        <x:f>IFERROR(IF(A42="","",IF(COUNT(B42:E42)&lt;4,"Incomplete",IF(F42&gt;=85,"Strong",IF(F42&gt;=70,"Monitor","Needs action")))),"")</x:f>
      </x:c>
      <x:c r="H42" s="5" t="str">
        <x:f>IFERROR(IF(A42="","",IF(G42="Incomplete","Complete all four scores",IF(F42&gt;=85,"Maintain / develop",IF(F42&gt;=70,"Agree improvement actions","Escalate review"))),""))</x:f>
      </x:c>
      <x:c r="I42" s="1"/>
      <x:c r="J42" s="1"/>
      <x:c r="K42" s="1"/>
      <x:c r="L42" s="1"/>
    </x:row>
    <x:row r="43">
      <x:c r="A43" s="4"/>
      <x:c r="B43" s="4"/>
      <x:c r="C43" s="4"/>
      <x:c r="D43" s="4"/>
      <x:c r="E43" s="4"/>
      <x:c r="F43" s="14" t="str">
        <x:f>IFERROR(IF(A43="","",IF(COUNT(B43:E43)&lt;4,"",B43*$B$4+C43*$C$4+D43*$D$4+E43*$E$4)),"")</x:f>
      </x:c>
      <x:c r="G43" s="5" t="str">
        <x:f>IFERROR(IF(A43="","",IF(COUNT(B43:E43)&lt;4,"Incomplete",IF(F43&gt;=85,"Strong",IF(F43&gt;=70,"Monitor","Needs action")))),"")</x:f>
      </x:c>
      <x:c r="H43" s="5" t="str">
        <x:f>IFERROR(IF(A43="","",IF(G43="Incomplete","Complete all four scores",IF(F43&gt;=85,"Maintain / develop",IF(F43&gt;=70,"Agree improvement actions","Escalate review"))),""))</x:f>
      </x:c>
      <x:c r="I43" s="1"/>
      <x:c r="J43" s="1"/>
      <x:c r="K43" s="1"/>
      <x:c r="L43" s="1"/>
    </x:row>
    <x:row r="44">
      <x:c r="A44" s="4"/>
      <x:c r="B44" s="4"/>
      <x:c r="C44" s="4"/>
      <x:c r="D44" s="4"/>
      <x:c r="E44" s="4"/>
      <x:c r="F44" s="14" t="str">
        <x:f>IFERROR(IF(A44="","",IF(COUNT(B44:E44)&lt;4,"",B44*$B$4+C44*$C$4+D44*$D$4+E44*$E$4)),"")</x:f>
      </x:c>
      <x:c r="G44" s="5" t="str">
        <x:f>IFERROR(IF(A44="","",IF(COUNT(B44:E44)&lt;4,"Incomplete",IF(F44&gt;=85,"Strong",IF(F44&gt;=70,"Monitor","Needs action")))),"")</x:f>
      </x:c>
      <x:c r="H44" s="5" t="str">
        <x:f>IFERROR(IF(A44="","",IF(G44="Incomplete","Complete all four scores",IF(F44&gt;=85,"Maintain / develop",IF(F44&gt;=70,"Agree improvement actions","Escalate review"))),""))</x:f>
      </x:c>
      <x:c r="I44" s="1"/>
      <x:c r="J44" s="1"/>
      <x:c r="K44" s="1"/>
      <x:c r="L44" s="1"/>
    </x:row>
    <x:row r="45">
      <x:c r="A45" s="4"/>
      <x:c r="B45" s="4"/>
      <x:c r="C45" s="4"/>
      <x:c r="D45" s="4"/>
      <x:c r="E45" s="4"/>
      <x:c r="F45" s="14" t="str">
        <x:f>IFERROR(IF(A45="","",IF(COUNT(B45:E45)&lt;4,"",B45*$B$4+C45*$C$4+D45*$D$4+E45*$E$4)),"")</x:f>
      </x:c>
      <x:c r="G45" s="5" t="str">
        <x:f>IFERROR(IF(A45="","",IF(COUNT(B45:E45)&lt;4,"Incomplete",IF(F45&gt;=85,"Strong",IF(F45&gt;=70,"Monitor","Needs action")))),"")</x:f>
      </x:c>
      <x:c r="H45" s="5" t="str">
        <x:f>IFERROR(IF(A45="","",IF(G45="Incomplete","Complete all four scores",IF(F45&gt;=85,"Maintain / develop",IF(F45&gt;=70,"Agree improvement actions","Escalate review"))),""))</x:f>
      </x:c>
      <x:c r="I45" s="1"/>
      <x:c r="J45" s="1"/>
      <x:c r="K45" s="1"/>
      <x:c r="L45" s="1"/>
    </x:row>
    <x:row r="46">
      <x:c r="A46" s="4"/>
      <x:c r="B46" s="4"/>
      <x:c r="C46" s="4"/>
      <x:c r="D46" s="4"/>
      <x:c r="E46" s="4"/>
      <x:c r="F46" s="14" t="str">
        <x:f>IFERROR(IF(A46="","",IF(COUNT(B46:E46)&lt;4,"",B46*$B$4+C46*$C$4+D46*$D$4+E46*$E$4)),"")</x:f>
      </x:c>
      <x:c r="G46" s="5" t="str">
        <x:f>IFERROR(IF(A46="","",IF(COUNT(B46:E46)&lt;4,"Incomplete",IF(F46&gt;=85,"Strong",IF(F46&gt;=70,"Monitor","Needs action")))),"")</x:f>
      </x:c>
      <x:c r="H46" s="5" t="str">
        <x:f>IFERROR(IF(A46="","",IF(G46="Incomplete","Complete all four scores",IF(F46&gt;=85,"Maintain / develop",IF(F46&gt;=70,"Agree improvement actions","Escalate review"))),""))</x:f>
      </x:c>
      <x:c r="I46" s="1"/>
      <x:c r="J46" s="1"/>
      <x:c r="K46" s="1"/>
      <x:c r="L46" s="1"/>
    </x:row>
    <x:row r="47">
      <x:c r="A47" s="4"/>
      <x:c r="B47" s="4"/>
      <x:c r="C47" s="4"/>
      <x:c r="D47" s="4"/>
      <x:c r="E47" s="4"/>
      <x:c r="F47" s="14" t="str">
        <x:f>IFERROR(IF(A47="","",IF(COUNT(B47:E47)&lt;4,"",B47*$B$4+C47*$C$4+D47*$D$4+E47*$E$4)),"")</x:f>
      </x:c>
      <x:c r="G47" s="5" t="str">
        <x:f>IFERROR(IF(A47="","",IF(COUNT(B47:E47)&lt;4,"Incomplete",IF(F47&gt;=85,"Strong",IF(F47&gt;=70,"Monitor","Needs action")))),"")</x:f>
      </x:c>
      <x:c r="H47" s="5" t="str">
        <x:f>IFERROR(IF(A47="","",IF(G47="Incomplete","Complete all four scores",IF(F47&gt;=85,"Maintain / develop",IF(F47&gt;=70,"Agree improvement actions","Escalate review"))),""))</x:f>
      </x:c>
      <x:c r="I47" s="1"/>
      <x:c r="J47" s="1"/>
      <x:c r="K47" s="1"/>
      <x:c r="L47" s="1"/>
    </x:row>
    <x:row r="48">
      <x:c r="A48" s="4"/>
      <x:c r="B48" s="4"/>
      <x:c r="C48" s="4"/>
      <x:c r="D48" s="4"/>
      <x:c r="E48" s="4"/>
      <x:c r="F48" s="14" t="str">
        <x:f>IFERROR(IF(A48="","",IF(COUNT(B48:E48)&lt;4,"",B48*$B$4+C48*$C$4+D48*$D$4+E48*$E$4)),"")</x:f>
      </x:c>
      <x:c r="G48" s="5" t="str">
        <x:f>IFERROR(IF(A48="","",IF(COUNT(B48:E48)&lt;4,"Incomplete",IF(F48&gt;=85,"Strong",IF(F48&gt;=70,"Monitor","Needs action")))),"")</x:f>
      </x:c>
      <x:c r="H48" s="5" t="str">
        <x:f>IFERROR(IF(A48="","",IF(G48="Incomplete","Complete all four scores",IF(F48&gt;=85,"Maintain / develop",IF(F48&gt;=70,"Agree improvement actions","Escalate review"))),""))</x:f>
      </x:c>
      <x:c r="I48" s="1"/>
      <x:c r="J48" s="1"/>
      <x:c r="K48" s="1"/>
      <x:c r="L48" s="1"/>
    </x:row>
    <x:row r="49">
      <x:c r="A49" s="4"/>
      <x:c r="B49" s="4"/>
      <x:c r="C49" s="4"/>
      <x:c r="D49" s="4"/>
      <x:c r="E49" s="4"/>
      <x:c r="F49" s="14" t="str">
        <x:f>IFERROR(IF(A49="","",IF(COUNT(B49:E49)&lt;4,"",B49*$B$4+C49*$C$4+D49*$D$4+E49*$E$4)),"")</x:f>
      </x:c>
      <x:c r="G49" s="5" t="str">
        <x:f>IFERROR(IF(A49="","",IF(COUNT(B49:E49)&lt;4,"Incomplete",IF(F49&gt;=85,"Strong",IF(F49&gt;=70,"Monitor","Needs action")))),"")</x:f>
      </x:c>
      <x:c r="H49" s="5" t="str">
        <x:f>IFERROR(IF(A49="","",IF(G49="Incomplete","Complete all four scores",IF(F49&gt;=85,"Maintain / develop",IF(F49&gt;=70,"Agree improvement actions","Escalate review"))),""))</x:f>
      </x:c>
      <x:c r="I49" s="1"/>
      <x:c r="J49" s="1"/>
      <x:c r="K49" s="1"/>
      <x:c r="L49" s="1"/>
    </x:row>
    <x:row r="50">
      <x:c r="A50" s="4"/>
      <x:c r="B50" s="4"/>
      <x:c r="C50" s="4"/>
      <x:c r="D50" s="4"/>
      <x:c r="E50" s="4"/>
      <x:c r="F50" s="14" t="str">
        <x:f>IFERROR(IF(A50="","",IF(COUNT(B50:E50)&lt;4,"",B50*$B$4+C50*$C$4+D50*$D$4+E50*$E$4)),"")</x:f>
      </x:c>
      <x:c r="G50" s="5" t="str">
        <x:f>IFERROR(IF(A50="","",IF(COUNT(B50:E50)&lt;4,"Incomplete",IF(F50&gt;=85,"Strong",IF(F50&gt;=70,"Monitor","Needs action")))),"")</x:f>
      </x:c>
      <x:c r="H50" s="5" t="str">
        <x:f>IFERROR(IF(A50="","",IF(G50="Incomplete","Complete all four scores",IF(F50&gt;=85,"Maintain / develop",IF(F50&gt;=70,"Agree improvement actions","Escalate review"))),""))</x:f>
      </x:c>
      <x:c r="I50" s="1"/>
      <x:c r="J50" s="1"/>
      <x:c r="K50" s="1"/>
      <x:c r="L50" s="1"/>
    </x:row>
    <x:row r="51">
      <x:c r="A51" s="4"/>
      <x:c r="B51" s="4"/>
      <x:c r="C51" s="4"/>
      <x:c r="D51" s="4"/>
      <x:c r="E51" s="4"/>
      <x:c r="F51" s="14" t="str">
        <x:f>IFERROR(IF(A51="","",IF(COUNT(B51:E51)&lt;4,"",B51*$B$4+C51*$C$4+D51*$D$4+E51*$E$4)),"")</x:f>
      </x:c>
      <x:c r="G51" s="5" t="str">
        <x:f>IFERROR(IF(A51="","",IF(COUNT(B51:E51)&lt;4,"Incomplete",IF(F51&gt;=85,"Strong",IF(F51&gt;=70,"Monitor","Needs action")))),"")</x:f>
      </x:c>
      <x:c r="H51" s="5" t="str">
        <x:f>IFERROR(IF(A51="","",IF(G51="Incomplete","Complete all four scores",IF(F51&gt;=85,"Maintain / develop",IF(F51&gt;=70,"Agree improvement actions","Escalate review"))),""))</x:f>
      </x:c>
      <x:c r="I51" s="1"/>
      <x:c r="J51" s="1"/>
      <x:c r="K51" s="1"/>
      <x:c r="L51" s="1"/>
    </x:row>
    <x:row r="52">
      <x:c r="A52" s="4"/>
      <x:c r="B52" s="4"/>
      <x:c r="C52" s="4"/>
      <x:c r="D52" s="4"/>
      <x:c r="E52" s="4"/>
      <x:c r="F52" s="14" t="str">
        <x:f>IFERROR(IF(A52="","",IF(COUNT(B52:E52)&lt;4,"",B52*$B$4+C52*$C$4+D52*$D$4+E52*$E$4)),"")</x:f>
      </x:c>
      <x:c r="G52" s="5" t="str">
        <x:f>IFERROR(IF(A52="","",IF(COUNT(B52:E52)&lt;4,"Incomplete",IF(F52&gt;=85,"Strong",IF(F52&gt;=70,"Monitor","Needs action")))),"")</x:f>
      </x:c>
      <x:c r="H52" s="5" t="str">
        <x:f>IFERROR(IF(A52="","",IF(G52="Incomplete","Complete all four scores",IF(F52&gt;=85,"Maintain / develop",IF(F52&gt;=70,"Agree improvement actions","Escalate review"))),""))</x:f>
      </x:c>
      <x:c r="I52" s="1"/>
      <x:c r="J52" s="1"/>
      <x:c r="K52" s="1"/>
      <x:c r="L52" s="1"/>
    </x:row>
    <x:row r="53">
      <x:c r="A53" s="4"/>
      <x:c r="B53" s="4"/>
      <x:c r="C53" s="4"/>
      <x:c r="D53" s="4"/>
      <x:c r="E53" s="4"/>
      <x:c r="F53" s="14" t="str">
        <x:f>IFERROR(IF(A53="","",IF(COUNT(B53:E53)&lt;4,"",B53*$B$4+C53*$C$4+D53*$D$4+E53*$E$4)),"")</x:f>
      </x:c>
      <x:c r="G53" s="5" t="str">
        <x:f>IFERROR(IF(A53="","",IF(COUNT(B53:E53)&lt;4,"Incomplete",IF(F53&gt;=85,"Strong",IF(F53&gt;=70,"Monitor","Needs action")))),"")</x:f>
      </x:c>
      <x:c r="H53" s="5" t="str">
        <x:f>IFERROR(IF(A53="","",IF(G53="Incomplete","Complete all four scores",IF(F53&gt;=85,"Maintain / develop",IF(F53&gt;=70,"Agree improvement actions","Escalate review"))),""))</x:f>
      </x:c>
      <x:c r="I53" s="1"/>
      <x:c r="J53" s="1"/>
      <x:c r="K53" s="1"/>
      <x:c r="L53" s="1"/>
    </x:row>
    <x:row r="54">
      <x:c r="A54" s="4"/>
      <x:c r="B54" s="4"/>
      <x:c r="C54" s="4"/>
      <x:c r="D54" s="4"/>
      <x:c r="E54" s="4"/>
      <x:c r="F54" s="14" t="str">
        <x:f>IFERROR(IF(A54="","",IF(COUNT(B54:E54)&lt;4,"",B54*$B$4+C54*$C$4+D54*$D$4+E54*$E$4)),"")</x:f>
      </x:c>
      <x:c r="G54" s="5" t="str">
        <x:f>IFERROR(IF(A54="","",IF(COUNT(B54:E54)&lt;4,"Incomplete",IF(F54&gt;=85,"Strong",IF(F54&gt;=70,"Monitor","Needs action")))),"")</x:f>
      </x:c>
      <x:c r="H54" s="5" t="str">
        <x:f>IFERROR(IF(A54="","",IF(G54="Incomplete","Complete all four scores",IF(F54&gt;=85,"Maintain / develop",IF(F54&gt;=70,"Agree improvement actions","Escalate review"))),""))</x:f>
      </x:c>
      <x:c r="I54" s="1"/>
      <x:c r="J54" s="1"/>
      <x:c r="K54" s="1"/>
      <x:c r="L54" s="1"/>
    </x:row>
    <x:row r="55">
      <x:c r="A55" s="4"/>
      <x:c r="B55" s="4"/>
      <x:c r="C55" s="4"/>
      <x:c r="D55" s="4"/>
      <x:c r="E55" s="4"/>
      <x:c r="F55" s="14" t="str">
        <x:f>IFERROR(IF(A55="","",IF(COUNT(B55:E55)&lt;4,"",B55*$B$4+C55*$C$4+D55*$D$4+E55*$E$4)),"")</x:f>
      </x:c>
      <x:c r="G55" s="5" t="str">
        <x:f>IFERROR(IF(A55="","",IF(COUNT(B55:E55)&lt;4,"Incomplete",IF(F55&gt;=85,"Strong",IF(F55&gt;=70,"Monitor","Needs action")))),"")</x:f>
      </x:c>
      <x:c r="H55" s="5" t="str">
        <x:f>IFERROR(IF(A55="","",IF(G55="Incomplete","Complete all four scores",IF(F55&gt;=85,"Maintain / develop",IF(F55&gt;=70,"Agree improvement actions","Escalate review"))),""))</x:f>
      </x:c>
      <x:c r="I55" s="1"/>
      <x:c r="J55" s="1"/>
      <x:c r="K55" s="1"/>
      <x:c r="L55" s="1"/>
    </x:row>
    <x:row r="56">
      <x:c r="A56" s="4"/>
      <x:c r="B56" s="4"/>
      <x:c r="C56" s="4"/>
      <x:c r="D56" s="4"/>
      <x:c r="E56" s="4"/>
      <x:c r="F56" s="14" t="str">
        <x:f>IFERROR(IF(A56="","",IF(COUNT(B56:E56)&lt;4,"",B56*$B$4+C56*$C$4+D56*$D$4+E56*$E$4)),"")</x:f>
      </x:c>
      <x:c r="G56" s="5" t="str">
        <x:f>IFERROR(IF(A56="","",IF(COUNT(B56:E56)&lt;4,"Incomplete",IF(F56&gt;=85,"Strong",IF(F56&gt;=70,"Monitor","Needs action")))),"")</x:f>
      </x:c>
      <x:c r="H56" s="5" t="str">
        <x:f>IFERROR(IF(A56="","",IF(G56="Incomplete","Complete all four scores",IF(F56&gt;=85,"Maintain / develop",IF(F56&gt;=70,"Agree improvement actions","Escalate review"))),""))</x:f>
      </x:c>
      <x:c r="I56" s="1"/>
      <x:c r="J56" s="1"/>
      <x:c r="K56" s="1"/>
      <x:c r="L56" s="1"/>
    </x:row>
    <x:row r="57">
      <x:c r="A57" s="4"/>
      <x:c r="B57" s="4"/>
      <x:c r="C57" s="4"/>
      <x:c r="D57" s="4"/>
      <x:c r="E57" s="4"/>
      <x:c r="F57" s="14" t="str">
        <x:f>IFERROR(IF(A57="","",IF(COUNT(B57:E57)&lt;4,"",B57*$B$4+C57*$C$4+D57*$D$4+E57*$E$4)),"")</x:f>
      </x:c>
      <x:c r="G57" s="5" t="str">
        <x:f>IFERROR(IF(A57="","",IF(COUNT(B57:E57)&lt;4,"Incomplete",IF(F57&gt;=85,"Strong",IF(F57&gt;=70,"Monitor","Needs action")))),"")</x:f>
      </x:c>
      <x:c r="H57" s="5" t="str">
        <x:f>IFERROR(IF(A57="","",IF(G57="Incomplete","Complete all four scores",IF(F57&gt;=85,"Maintain / develop",IF(F57&gt;=70,"Agree improvement actions","Escalate review"))),""))</x:f>
      </x:c>
      <x:c r="I57" s="1"/>
      <x:c r="J57" s="1"/>
      <x:c r="K57" s="1"/>
      <x:c r="L57" s="1"/>
    </x:row>
  </x:sheetData>
  <x:mergeCells>
    <x:mergeCell ref="A2:H2"/>
  </x:mergeCells>
  <x:conditionalFormatting sqref="G8:G57">
    <x:cfRule type="containsText" dxfId="0" priority="1" operator="containsText" text="Needs action"/>
    <x:cfRule type="containsText" dxfId="1" priority="2" operator="containsText" text="Strong"/>
  </x:conditionalFormatting>
  <x:dataValidations count="2">
    <x:dataValidation type="decimal" operator="between" sqref="B4:E4">
      <x:formula1>0</x:formula1>
      <x:formula2>1</x:formula2>
    </x:dataValidation>
    <x:dataValidation type="decimal" operator="between" sqref="B8:E57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5" hidden="0" customWidth="1"/>
  </x:cols>
  <x:sheetData>
    <x:row r="1">
      <x:c r="A1" s="1"/>
      <x:c r="B1" s="1"/>
    </x:row>
    <x:row r="2">
      <x:c r="A2" s="3" t="str">
        <x:v>Calibrate Supplier Reviews</x:v>
      </x:c>
      <x:c r="B2" s="3"/>
    </x:row>
    <x:row r="3">
      <x:c r="A3" s="1"/>
      <x:c r="B3" s="1"/>
    </x:row>
    <x:row r="4" ht="32" customHeight="1">
      <x:c r="A4" s="15" t="str">
        <x:v>Weights</x:v>
      </x:c>
      <x:c r="B4" s="16" t="str">
        <x:v>Set four weights on Scorecard so they total 100%; equal weighting is only a starting point.</x:v>
      </x:c>
    </x:row>
    <x:row r="5" ht="32" customHeight="1">
      <x:c r="A5" s="15" t="str">
        <x:v>Scores</x:v>
      </x:c>
      <x:c r="B5" s="16" t="str">
        <x:v>Use comparable 0-100 scores and the same measurement period for each supplier.</x:v>
      </x:c>
    </x:row>
    <x:row r="6" ht="32" customHeight="1">
      <x:c r="A6" s="15" t="str">
        <x:v>Quality</x:v>
      </x:c>
      <x:c r="B6" s="16" t="str">
        <x:v>Use accepted quality/defect performance and document the scoring rule.</x:v>
      </x:c>
    </x:row>
    <x:row r="7" ht="32" customHeight="1">
      <x:c r="A7" s="15" t="str">
        <x:v>On-time</x:v>
      </x:c>
      <x:c r="B7" s="16" t="str">
        <x:v>Define a consistent promised-date and receipt-date rule.</x:v>
      </x:c>
    </x:row>
    <x:row r="8" ht="32" customHeight="1">
      <x:c r="A8" s="15" t="str">
        <x:v>Important</x:v>
      </x:c>
      <x:c r="B8" s="16" t="str">
        <x:v>Sample scores are illustrative. Bands are prompts, not a universal supplier standard; align thresholds and actions with procurement policy.</x:v>
      </x:c>
    </x:row>
  </x:sheetData>
  <x:mergeCells>
    <x:mergeCell ref="A2:B2"/>
  </x:mergeCells>
  <x:pageMargins left="0.7" right="0.7" top="0.75" bottom="0.75" header="0.3" footer="0.3"/>
</x:worksheet>
</file>