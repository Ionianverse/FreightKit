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2c1055c8d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 comparison" sheetId="1" r:id="R10e78b42c75349a8"/>
    <x:sheet xmlns:r="http://schemas.openxmlformats.org/officeDocument/2006/relationships" name="Read me" sheetId="2" r:id="Rc1c545148f8a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.00;[Red](#,##0.00);-"/>
    <x:numFmt numFmtId="202" formatCode="yyyy-mm-dd"/>
    <x:numFmt numFmtId="203" formatCode="#,##0.000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53A5B"/>
      <x:name val="Arial"/>
    </x:font>
    <x:font>
      <x:b/>
      <x:sz val="10"/>
      <x:color rgb="FF153A5B"/>
      <x:name val="Arial"/>
    </x:font>
    <x:font>
      <x:b/>
      <x:sz val="10"/>
      <x:color rgb="FFFFFFFF"/>
      <x:name val="Arial"/>
    </x:font>
    <x:font>
      <x:i/>
      <x:sz val="9"/>
      <x:color rgb="FF52617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0B5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/>
    <x:xf numFmtId="201" fontId="1" fillId="3" borderId="0" xfId="0" applyNumberFormat="1" applyFont="1" applyFill="1" applyBorder="1"/>
    <x:xf numFmtId="202" fontId="1" fillId="2" borderId="0" xfId="0" applyNumberFormat="1" applyFont="1" applyFill="1" applyBorder="1"/>
    <x:xf numFmtId="203" fontId="1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331ee3c5f46d1" /><Relationship Type="http://schemas.openxmlformats.org/officeDocument/2006/relationships/theme" Target="/xl/theme/theme1.xml" Id="Rca8fea49d4d14780" /><Relationship Type="http://schemas.openxmlformats.org/officeDocument/2006/relationships/sharedStrings" Target="/xl/sharedStrings.xml" Id="R2c36f8c8e59b45f2" /><Relationship Type="http://schemas.openxmlformats.org/officeDocument/2006/relationships/worksheet" Target="/xl/worksheets/sheet1.xml" Id="R10e78b42c75349a8" /><Relationship Type="http://schemas.openxmlformats.org/officeDocument/2006/relationships/worksheet" Target="/xl/worksheets/sheet2.xml" Id="Rc1c545148f8a4f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4" hidden="0" customWidth="1"/>
    <x:col min="10" max="10" width="17" hidden="0" customWidth="1"/>
    <x:col min="11" max="11" width="16" hidden="0" customWidth="1"/>
    <x:col min="12" max="12" width="16" hidden="0" customWidth="1"/>
    <x:col min="13" max="13" width="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Freight Quote Comparison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4" t="str">
        <x:v>Shipment weight (kg)</x:v>
      </x:c>
      <x:c r="B4" s="5" t="n">
        <x:v>1000</x:v>
      </x:c>
      <x:c r="C4" s="1"/>
      <x:c r="D4" s="1"/>
      <x:c r="E4" s="1"/>
      <x:c r="F4" s="1"/>
      <x:c r="G4" s="1"/>
      <x:c r="H4" s="1"/>
      <x:c r="I4" s="1"/>
      <x:c r="J4" s="1"/>
      <x:c r="K4" s="7" t="str">
        <x:v>Quotes entered</x:v>
      </x:c>
      <x:c r="L4" s="1" t="n">
        <x:f>COUNTA(A9:A13)</x:f>
        <x:v>4</x:v>
      </x:c>
      <x:c r="M4" s="1"/>
    </x:row>
    <x:row r="5">
      <x:c r="A5" s="4" t="str">
        <x:v>Shipment units</x:v>
      </x:c>
      <x:c r="B5" s="5" t="n">
        <x:v>100</x:v>
      </x:c>
      <x:c r="C5" s="1"/>
      <x:c r="D5" s="1"/>
      <x:c r="E5" s="1"/>
      <x:c r="F5" s="1"/>
      <x:c r="G5" s="1"/>
      <x:c r="H5" s="1"/>
      <x:c r="I5" s="1"/>
      <x:c r="J5" s="1"/>
      <x:c r="K5" s="7" t="str">
        <x:v>Lowest all-in cost</x:v>
      </x:c>
      <x:c r="L5" s="8" t="n">
        <x:f>IFERROR(MIN(H9:H13),0)</x:f>
        <x:v>1400</x:v>
      </x:c>
      <x:c r="M5" s="1"/>
    </x:row>
    <x:row r="6">
      <x:c r="A6" s="4" t="str">
        <x:v>Display currency</x:v>
      </x:c>
      <x:c r="B6" s="5" t="str">
        <x:v>USD</x:v>
      </x:c>
      <x:c r="C6" s="1"/>
      <x:c r="D6" s="1"/>
      <x:c r="E6" s="1"/>
      <x:c r="F6" s="1"/>
      <x:c r="G6" s="1"/>
      <x:c r="H6" s="1"/>
      <x:c r="I6" s="1"/>
      <x:c r="J6" s="1"/>
      <x:c r="K6" s="7" t="str">
        <x:v>Fastest transit (days)</x:v>
      </x:c>
      <x:c r="L6" s="1" t="n">
        <x:f>IFERROR(MIN(I9:I13),0)</x:f>
        <x:v>5</x:v>
      </x:c>
      <x:c r="M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32" customHeight="1">
      <x:c r="A8" s="12" t="str">
        <x:v>Quote ID</x:v>
      </x:c>
      <x:c r="B8" s="12" t="str">
        <x:v>Carrier / vendor</x:v>
      </x:c>
      <x:c r="C8" s="12" t="str">
        <x:v>Base freight</x:v>
      </x:c>
      <x:c r="D8" s="12" t="str">
        <x:v>Fuel surcharge</x:v>
      </x:c>
      <x:c r="E8" s="12" t="str">
        <x:v>Origin fees</x:v>
      </x:c>
      <x:c r="F8" s="12" t="str">
        <x:v>Destination fees</x:v>
      </x:c>
      <x:c r="G8" s="12" t="str">
        <x:v>Other fees</x:v>
      </x:c>
      <x:c r="H8" s="12" t="str">
        <x:v>All-in total</x:v>
      </x:c>
      <x:c r="I8" s="12" t="str">
        <x:v>Transit days</x:v>
      </x:c>
      <x:c r="J8" s="12" t="str">
        <x:v>Valid through</x:v>
      </x:c>
      <x:c r="K8" s="12" t="str">
        <x:v>Cost / kg</x:v>
      </x:c>
      <x:c r="L8" s="12" t="str">
        <x:v>Cost / unit</x:v>
      </x:c>
      <x:c r="M8" s="12" t="str">
        <x:v>Rank</x:v>
      </x:c>
    </x:row>
    <x:row r="9">
      <x:c r="A9" s="5" t="str">
        <x:v>Q-101</x:v>
      </x:c>
      <x:c r="B9" s="5" t="str">
        <x:v>Northstar Freight</x:v>
      </x:c>
      <x:c r="C9" s="13" t="n">
        <x:v>980</x:v>
      </x:c>
      <x:c r="D9" s="13" t="n">
        <x:v>210</x:v>
      </x:c>
      <x:c r="E9" s="13" t="n">
        <x:v>120</x:v>
      </x:c>
      <x:c r="F9" s="13" t="n">
        <x:v>85</x:v>
      </x:c>
      <x:c r="G9" s="13" t="n">
        <x:v>25</x:v>
      </x:c>
      <x:c r="H9" s="14" t="n">
        <x:f>IF(A9="","",SUM(C9:G9))</x:f>
        <x:v>1420</x:v>
      </x:c>
      <x:c r="I9" s="5" t="n">
        <x:v>7</x:v>
      </x:c>
      <x:c r="J9" s="15" t="d">
        <x:v>2026-11-05T00:00:00.000Z</x:v>
      </x:c>
      <x:c r="K9" s="16" t="n">
        <x:f>IFERROR(IF(OR(A9="",$B$4&lt;=0),"",H9/$B$4),"")</x:f>
        <x:v>1.42</x:v>
      </x:c>
      <x:c r="L9" s="16" t="n">
        <x:f>IFERROR(IF(OR(A9="",$B$5&lt;=0),"",H9/$B$5),"")</x:f>
        <x:v>14.2</x:v>
      </x:c>
      <x:c r="M9" s="6" t="n">
        <x:f>IF(A9="","",COUNTIF($H$9:$H$13,"&lt;"&amp;H9)+1)</x:f>
        <x:v>4</x:v>
      </x:c>
    </x:row>
    <x:row r="10">
      <x:c r="A10" s="5" t="str">
        <x:v>Q-102</x:v>
      </x:c>
      <x:c r="B10" s="5" t="str">
        <x:v>Blue Harbor Logistics</x:v>
      </x:c>
      <x:c r="C10" s="13" t="n">
        <x:v>1100</x:v>
      </x:c>
      <x:c r="D10" s="13" t="n">
        <x:v>140</x:v>
      </x:c>
      <x:c r="E10" s="13" t="n">
        <x:v>65</x:v>
      </x:c>
      <x:c r="F10" s="13" t="n">
        <x:v>95</x:v>
      </x:c>
      <x:c r="G10" s="13" t="n">
        <x:v>0</x:v>
      </x:c>
      <x:c r="H10" s="14" t="n">
        <x:f>IF(A10="","",SUM(C10:G10))</x:f>
        <x:v>1400</x:v>
      </x:c>
      <x:c r="I10" s="5" t="n">
        <x:v>5</x:v>
      </x:c>
      <x:c r="J10" s="15" t="d">
        <x:v>2026-11-02T00:00:00.000Z</x:v>
      </x:c>
      <x:c r="K10" s="16" t="n">
        <x:f>IFERROR(IF(OR(A10="",$B$4&lt;=0),"",H10/$B$4),"")</x:f>
        <x:v>1.4</x:v>
      </x:c>
      <x:c r="L10" s="16" t="n">
        <x:f>IFERROR(IF(OR(A10="",$B$5&lt;=0),"",H10/$B$5),"")</x:f>
        <x:v>14</x:v>
      </x:c>
      <x:c r="M10" s="6" t="n">
        <x:f>IF(A10="","",COUNTIF($H$9:$H$13,"&lt;"&amp;H10)+1)</x:f>
        <x:v>2</x:v>
      </x:c>
    </x:row>
    <x:row r="11">
      <x:c r="A11" s="5" t="str">
        <x:v>Q-103</x:v>
      </x:c>
      <x:c r="B11" s="5" t="str">
        <x:v>Meridian Cargo</x:v>
      </x:c>
      <x:c r="C11" s="13" t="n">
        <x:v>920</x:v>
      </x:c>
      <x:c r="D11" s="13" t="n">
        <x:v>275</x:v>
      </x:c>
      <x:c r="E11" s="13" t="n">
        <x:v>90</x:v>
      </x:c>
      <x:c r="F11" s="13" t="n">
        <x:v>100</x:v>
      </x:c>
      <x:c r="G11" s="13" t="n">
        <x:v>30</x:v>
      </x:c>
      <x:c r="H11" s="14" t="n">
        <x:f>IF(A11="","",SUM(C11:G11))</x:f>
        <x:v>1415</x:v>
      </x:c>
      <x:c r="I11" s="5" t="n">
        <x:v>9</x:v>
      </x:c>
      <x:c r="J11" s="15" t="d">
        <x:v>2026-11-08T00:00:00.000Z</x:v>
      </x:c>
      <x:c r="K11" s="16" t="n">
        <x:f>IFERROR(IF(OR(A11="",$B$4&lt;=0),"",H11/$B$4),"")</x:f>
        <x:v>1.415</x:v>
      </x:c>
      <x:c r="L11" s="16" t="n">
        <x:f>IFERROR(IF(OR(A11="",$B$5&lt;=0),"",H11/$B$5),"")</x:f>
        <x:v>14.15</x:v>
      </x:c>
      <x:c r="M11" s="6" t="n">
        <x:f>IF(A11="","",COUNTIF($H$9:$H$13,"&lt;"&amp;H11)+1)</x:f>
        <x:v>3</x:v>
      </x:c>
    </x:row>
    <x:row r="12">
      <x:c r="A12" s="5" t="str">
        <x:v>Q-104</x:v>
      </x:c>
      <x:c r="B12" s="5" t="str">
        <x:v>Crescent Transport</x:v>
      </x:c>
      <x:c r="C12" s="13" t="n">
        <x:v>1050</x:v>
      </x:c>
      <x:c r="D12" s="13" t="n">
        <x:v>175</x:v>
      </x:c>
      <x:c r="E12" s="13" t="n">
        <x:v>100</x:v>
      </x:c>
      <x:c r="F12" s="13" t="n">
        <x:v>80</x:v>
      </x:c>
      <x:c r="G12" s="13" t="n">
        <x:v>15</x:v>
      </x:c>
      <x:c r="H12" s="14" t="n">
        <x:f>IF(A12="","",SUM(C12:G12))</x:f>
        <x:v>1420</x:v>
      </x:c>
      <x:c r="I12" s="5" t="n">
        <x:v>6</x:v>
      </x:c>
      <x:c r="J12" s="15" t="d">
        <x:v>2026-10-30T00:00:00.000Z</x:v>
      </x:c>
      <x:c r="K12" s="16" t="n">
        <x:f>IFERROR(IF(OR(A12="",$B$4&lt;=0),"",H12/$B$4),"")</x:f>
        <x:v>1.42</x:v>
      </x:c>
      <x:c r="L12" s="16" t="n">
        <x:f>IFERROR(IF(OR(A12="",$B$5&lt;=0),"",H12/$B$5),"")</x:f>
        <x:v>14.2</x:v>
      </x:c>
      <x:c r="M12" s="6" t="n">
        <x:f>IF(A12="","",COUNTIF($H$9:$H$13,"&lt;"&amp;H12)+1)</x:f>
        <x:v>4</x:v>
      </x:c>
    </x:row>
    <x:row r="13">
      <x:c r="A13" s="5"/>
      <x:c r="B13" s="5"/>
      <x:c r="C13" s="13"/>
      <x:c r="D13" s="13"/>
      <x:c r="E13" s="13"/>
      <x:c r="F13" s="13"/>
      <x:c r="G13" s="13"/>
      <x:c r="H13" s="14" t="str">
        <x:f>IF(A13="","",SUM(C13:G13))</x:f>
      </x:c>
      <x:c r="I13" s="5"/>
      <x:c r="J13" s="15"/>
      <x:c r="K13" s="16" t="str">
        <x:f>IFERROR(IF(OR(A13="",$B$4&lt;=0),"",H13/$B$4),"")</x:f>
      </x:c>
      <x:c r="L13" s="16" t="str">
        <x:f>IFERROR(IF(OR(A13="",$B$5&lt;=0),"",H13/$B$5),"")</x:f>
      </x:c>
      <x:c r="M13" s="6" t="str">
        <x:f>IF(A13="","",COUNTIF($H$9:$H$13,"&lt;"&amp;H13)+1)</x:f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A15" s="19" t="str">
        <x:v>Compare like-for-like scope, pickup/delivery points, service level, quote validity, and included accessorials. Currency is a label only.</x:v>
      </x:c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</x:sheetData>
  <x:mergeCells>
    <x:mergeCell ref="A2:M2"/>
    <x:mergeCell ref="A15:M15"/>
  </x:mergeCells>
  <x:dataValidations count="1">
    <x:dataValidation type="list" sqref="B6">
      <x:formula1>"USD,INR,EUR,GBP,AED,CAD,AUD"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>
      <x:c r="A1" s="1"/>
      <x:c r="B1" s="1"/>
    </x:row>
    <x:row r="2">
      <x:c r="A2" s="3" t="str">
        <x:v>How to Compare Freight Quotes</x:v>
      </x:c>
      <x:c r="B2" s="3"/>
    </x:row>
    <x:row r="3">
      <x:c r="A3" s="1"/>
      <x:c r="B3" s="1"/>
    </x:row>
    <x:row r="4" ht="32" customHeight="1">
      <x:c r="A4" s="4" t="str">
        <x:v>1. Normalize</x:v>
      </x:c>
      <x:c r="B4" s="20" t="str">
        <x:v>Use the same shipment weight, units, route, service level, and currency for every quote.</x:v>
      </x:c>
    </x:row>
    <x:row r="5" ht="32" customHeight="1">
      <x:c r="A5" s="4" t="str">
        <x:v>2. Enter charges</x:v>
      </x:c>
      <x:c r="B5" s="20" t="str">
        <x:v>Replace illustrative rows with quoted base freight, fuel, origin, destination, and other fees.</x:v>
      </x:c>
    </x:row>
    <x:row r="6" ht="32" customHeight="1">
      <x:c r="A6" s="4" t="str">
        <x:v>3. Compare</x:v>
      </x:c>
      <x:c r="B6" s="20" t="str">
        <x:v>Review all-in total, cost per kg, transit days, validity date, and rank together.</x:v>
      </x:c>
    </x:row>
    <x:row r="7" ht="32" customHeight="1">
      <x:c r="A7" s="4" t="str">
        <x:v>4. Validate</x:v>
      </x:c>
      <x:c r="B7" s="20" t="str">
        <x:v>Check capacity, cut-off, routing, free time, insurance, and exclusions with each provider.</x:v>
      </x:c>
    </x:row>
    <x:row r="8" ht="32" customHeight="1">
      <x:c r="A8" s="4" t="str">
        <x:v>Important</x:v>
      </x:c>
      <x:c r="B8" s="20" t="str">
        <x:v>Rates are not converted. Duties/taxes and unspecified fees are excluded; verify scope before awarding.</x:v>
      </x:c>
    </x:row>
  </x:sheetData>
  <x:mergeCells>
    <x:mergeCell ref="A2:B2"/>
  </x:mergeCells>
  <x:pageMargins left="0.7" right="0.7" top="0.75" bottom="0.75" header="0.3" footer="0.3"/>
</x:worksheet>
</file>