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885541558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1f44fc98e67455e"/>
    <x:sheet xmlns:r="http://schemas.openxmlformats.org/officeDocument/2006/relationships" name="Inventory" sheetId="2" r:id="R90d9be3cca544eff"/>
    <x:sheet xmlns:r="http://schemas.openxmlformats.org/officeDocument/2006/relationships" name="Read me" sheetId="3" r:id="R8cf2429057614e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"/>
    <x:numFmt numFmtId="201" formatCode="0.0"/>
  </x:numFmts>
  <x:fonts count="7">
    <x:font>
      <x:sz val="11"/>
      <x:name val="Carlito"/>
    </x:font>
    <x:font>
      <x:sz val="10"/>
      <x:color rgb="FF1F2937"/>
      <x:name val="Arial"/>
    </x:font>
    <x:font>
      <x:b/>
      <x:sz val="15"/>
      <x:color rgb="FF153A5B"/>
      <x:name val="Arial"/>
    </x:font>
    <x:font>
      <x:b/>
      <x:sz val="10"/>
      <x:color rgb="FF153A5B"/>
      <x:name val="Arial"/>
    </x:font>
    <x:font>
      <x:i/>
      <x:sz val="9"/>
      <x:color rgb="FF526173"/>
      <x:name val="Arial"/>
    </x:font>
    <x:font>
      <x:b/>
      <x:i/>
      <x:sz val="10"/>
      <x:color rgb="FF153A5B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0B5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eba8ca08d44c8c" /><Relationship Type="http://schemas.openxmlformats.org/officeDocument/2006/relationships/theme" Target="/xl/theme/theme1.xml" Id="Rff852ba09fc34dd8" /><Relationship Type="http://schemas.openxmlformats.org/officeDocument/2006/relationships/sharedStrings" Target="/xl/sharedStrings.xml" Id="R167d2014f86e493b" /><Relationship Type="http://schemas.openxmlformats.org/officeDocument/2006/relationships/worksheet" Target="/xl/worksheets/sheet1.xml" Id="R41f44fc98e67455e" /><Relationship Type="http://schemas.openxmlformats.org/officeDocument/2006/relationships/worksheet" Target="/xl/worksheets/sheet2.xml" Id="R90d9be3cca544eff" /><Relationship Type="http://schemas.openxmlformats.org/officeDocument/2006/relationships/worksheet" Target="/xl/worksheets/sheet3.xml" Id="R8cf2429057614e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2" hidden="0" customWidth="1"/>
  </x:cols>
  <x:sheetData>
    <x:row r="1">
      <x:c r="A1" s="1"/>
      <x:c r="B1" s="1"/>
      <x:c r="C1" s="1"/>
      <x:c r="D1" s="1"/>
    </x:row>
    <x:row r="2">
      <x:c r="A2" s="3" t="str">
        <x:v>Inventory Reorder Planner</x:v>
      </x:c>
      <x:c r="B2" s="3"/>
      <x:c r="C2" s="3"/>
      <x:c r="D2" s="3"/>
    </x:row>
    <x:row r="3">
      <x:c r="A3" s="1"/>
      <x:c r="B3" s="1"/>
      <x:c r="C3" s="1"/>
      <x:c r="D3" s="1"/>
    </x:row>
    <x:row r="4">
      <x:c r="A4" s="6" t="str">
        <x:v>Review period (days)</x:v>
      </x:c>
      <x:c r="B4" s="7" t="n">
        <x:v>30</x:v>
      </x:c>
      <x:c r="C4" s="1"/>
      <x:c r="D4" s="1"/>
    </x:row>
    <x:row r="5">
      <x:c r="A5" s="1"/>
      <x:c r="B5" s="1"/>
      <x:c r="C5" s="1"/>
      <x:c r="D5" s="1"/>
    </x:row>
    <x:row r="6">
      <x:c r="A6" s="5" t="str">
        <x:v>SKUs reviewed</x:v>
      </x:c>
      <x:c r="B6" s="1" t="n">
        <x:f>COUNTA(Inventory!A8:A57)</x:f>
        <x:v>4</x:v>
      </x:c>
      <x:c r="C6" s="1"/>
      <x:c r="D6" s="1"/>
    </x:row>
    <x:row r="7">
      <x:c r="A7" s="5" t="str">
        <x:v>Reorder now</x:v>
      </x:c>
      <x:c r="B7" s="1" t="n">
        <x:f>COUNTIF(Inventory!M8:M57,"Reorder now")</x:f>
        <x:v>1</x:v>
      </x:c>
      <x:c r="C7" s="1"/>
      <x:c r="D7" s="1"/>
    </x:row>
    <x:row r="8">
      <x:c r="A8" s="5" t="str">
        <x:v>Suggested order units</x:v>
      </x:c>
      <x:c r="B8" s="1" t="n">
        <x:f>SUM(Inventory!K8:K57)</x:f>
        <x:v>419</x:v>
      </x:c>
      <x:c r="C8" s="1"/>
      <x:c r="D8" s="1"/>
    </x:row>
    <x:row r="9">
      <x:c r="A9" s="5" t="str">
        <x:v>No-demand SKUs</x:v>
      </x:c>
      <x:c r="B9" s="1" t="n">
        <x:f>COUNTIF(Inventory!M8:M57,"No demand")</x:f>
        <x:v>1</x:v>
      </x:c>
      <x:c r="C9" s="1"/>
      <x:c r="D9" s="1"/>
    </x:row>
    <x:row r="10">
      <x:c r="A10" s="1"/>
      <x:c r="B10" s="1"/>
      <x:c r="C10" s="1"/>
      <x:c r="D10" s="1"/>
    </x:row>
    <x:row r="11">
      <x:c r="A11" s="12" t="str">
        <x:v>Reorder point</x:v>
      </x:c>
      <x:c r="B11" s="11" t="str">
        <x:v>Average daily demand × lead time + safety stock.</x:v>
      </x:c>
      <x:c r="C11" s="1"/>
      <x:c r="D11" s="1"/>
    </x:row>
    <x:row r="12">
      <x:c r="A12" s="12" t="str">
        <x:v>Available</x:v>
      </x:c>
      <x:c r="B12" s="11" t="str">
        <x:v>On-hand stock + open PO quantity.</x:v>
      </x:c>
      <x:c r="C12" s="1"/>
      <x:c r="D12" s="1"/>
    </x:row>
    <x:row r="13">
      <x:c r="A13" s="12" t="str">
        <x:v>Scope</x:v>
      </x:c>
      <x:c r="B13" s="11" t="str">
        <x:v>Planning estimate; check supplier pack sizes and demand changes.</x:v>
      </x:c>
      <x:c r="C13" s="1"/>
      <x:c r="D13" s="1"/>
    </x:row>
    <x:row r="14">
      <x:c r="A14" s="1"/>
      <x:c r="B14" s="1"/>
      <x:c r="C14" s="1"/>
      <x:c r="D14" s="1"/>
    </x:row>
    <x:row r="15">
      <x:c r="A15" s="1"/>
      <x:c r="B15" s="1"/>
      <x:c r="C15" s="1"/>
      <x:c r="D15" s="1"/>
    </x:row>
    <x:row r="16">
      <x:c r="A16" s="1"/>
      <x:c r="B16" s="1"/>
      <x:c r="C16" s="1"/>
      <x:c r="D16" s="1"/>
    </x:row>
  </x:sheetData>
  <x:mergeCells>
    <x:mergeCell ref="A2:D2"/>
  </x:mergeCells>
  <x:dataValidations count="1">
    <x:dataValidation type="whole" operator="between" sqref="B4">
      <x:formula1>0</x:formula1>
      <x:formula2>3650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5" hidden="0" customWidth="1"/>
    <x:col min="13" max="13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3" t="str">
        <x:v>SKU Reorder Review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1" t="str">
        <x:v>Yellow cells are editable. Include confirmed open PO quantities so available stock does not trigger duplicate orders.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32" customHeight="1">
      <x:c r="A7" s="16" t="str">
        <x:v>SKU</x:v>
      </x:c>
      <x:c r="B7" s="16" t="str">
        <x:v>Description</x:v>
      </x:c>
      <x:c r="C7" s="16" t="str">
        <x:v>Avg daily demand</x:v>
      </x:c>
      <x:c r="D7" s="16" t="str">
        <x:v>Lead time days</x:v>
      </x:c>
      <x:c r="E7" s="16" t="str">
        <x:v>Safety stock</x:v>
      </x:c>
      <x:c r="F7" s="16" t="str">
        <x:v>MOQ</x:v>
      </x:c>
      <x:c r="G7" s="16" t="str">
        <x:v>On hand</x:v>
      </x:c>
      <x:c r="H7" s="16" t="str">
        <x:v>Open PO qty</x:v>
      </x:c>
      <x:c r="I7" s="16" t="str">
        <x:v>Available</x:v>
      </x:c>
      <x:c r="J7" s="16" t="str">
        <x:v>Reorder point</x:v>
      </x:c>
      <x:c r="K7" s="16" t="str">
        <x:v>Suggested order qty</x:v>
      </x:c>
      <x:c r="L7" s="16" t="str">
        <x:v>Days of cover</x:v>
      </x:c>
      <x:c r="M7" s="16" t="str">
        <x:v>Action</x:v>
      </x:c>
    </x:row>
    <x:row r="8">
      <x:c r="A8" s="7" t="str">
        <x:v>SKU-100</x:v>
      </x:c>
      <x:c r="B8" s="7" t="str">
        <x:v>Packaging film</x:v>
      </x:c>
      <x:c r="C8" s="17" t="n">
        <x:v>18</x:v>
      </x:c>
      <x:c r="D8" s="17" t="n">
        <x:v>14</x:v>
      </x:c>
      <x:c r="E8" s="17" t="n">
        <x:v>100</x:v>
      </x:c>
      <x:c r="F8" s="17" t="n">
        <x:v>250</x:v>
      </x:c>
      <x:c r="G8" s="17" t="n">
        <x:v>280</x:v>
      </x:c>
      <x:c r="H8" s="17" t="n">
        <x:v>100</x:v>
      </x:c>
      <x:c r="I8" s="18" t="n">
        <x:f>IF(A8="","",G8+H8)</x:f>
        <x:v>380</x:v>
      </x:c>
      <x:c r="J8" s="18" t="n">
        <x:f>IF(A8="","",C8*D8+E8)</x:f>
        <x:v>352</x:v>
      </x:c>
      <x:c r="K8" s="18" t="n">
        <x:f>IF(A8="","",IF(C8&lt;=0,0,IF(I8&lt;=J8,MAX(F8,ROUNDUP(C8*(D8+Overview!$B$4)+E8-I8,0)),0)))</x:f>
        <x:v>0</x:v>
      </x:c>
      <x:c r="L8" s="19" t="n">
        <x:f>IFERROR(IF(OR(A8="",C8&lt;=0),"",I8/C8),"")</x:f>
        <x:v>21.11111111111111</x:v>
      </x:c>
      <x:c r="M8" s="4" t="str">
        <x:f>IF(A8="","",IF(C8&lt;=0,"No demand",IF(I8&lt;=J8,"Reorder now","Monitor")))</x:f>
        <x:v>Monitor</x:v>
      </x:c>
    </x:row>
    <x:row r="9">
      <x:c r="A9" s="7" t="str">
        <x:v>SKU-204</x:v>
      </x:c>
      <x:c r="B9" s="7" t="str">
        <x:v>Valve assembly</x:v>
      </x:c>
      <x:c r="C9" s="17" t="n">
        <x:v>9</x:v>
      </x:c>
      <x:c r="D9" s="17" t="n">
        <x:v>21</x:v>
      </x:c>
      <x:c r="E9" s="17" t="n">
        <x:v>80</x:v>
      </x:c>
      <x:c r="F9" s="17" t="n">
        <x:v>100</x:v>
      </x:c>
      <x:c r="G9" s="17" t="n">
        <x:v>120</x:v>
      </x:c>
      <x:c r="H9" s="17" t="n">
        <x:v>0</x:v>
      </x:c>
      <x:c r="I9" s="18" t="n">
        <x:f>IF(A9="","",G9+H9)</x:f>
        <x:v>120</x:v>
      </x:c>
      <x:c r="J9" s="18" t="n">
        <x:f>IF(A9="","",C9*D9+E9)</x:f>
        <x:v>269</x:v>
      </x:c>
      <x:c r="K9" s="18" t="n">
        <x:f>IF(A9="","",IF(C9&lt;=0,0,IF(I9&lt;=J9,MAX(F9,ROUNDUP(C9*(D9+Overview!$B$4)+E9-I9,0)),0)))</x:f>
        <x:v>419</x:v>
      </x:c>
      <x:c r="L9" s="19" t="n">
        <x:f>IFERROR(IF(OR(A9="",C9&lt;=0),"",I9/C9),"")</x:f>
        <x:v>13.333333333333334</x:v>
      </x:c>
      <x:c r="M9" s="4" t="str">
        <x:f>IF(A9="","",IF(C9&lt;=0,"No demand",IF(I9&lt;=J9,"Reorder now","Monitor")))</x:f>
        <x:v>Reorder now</x:v>
      </x:c>
    </x:row>
    <x:row r="10">
      <x:c r="A10" s="7" t="str">
        <x:v>SKU-035</x:v>
      </x:c>
      <x:c r="B10" s="7" t="str">
        <x:v>Carton 12-pack</x:v>
      </x:c>
      <x:c r="C10" s="17" t="n">
        <x:v>32</x:v>
      </x:c>
      <x:c r="D10" s="17" t="n">
        <x:v>7</x:v>
      </x:c>
      <x:c r="E10" s="17" t="n">
        <x:v>120</x:v>
      </x:c>
      <x:c r="F10" s="17" t="n">
        <x:v>500</x:v>
      </x:c>
      <x:c r="G10" s="17" t="n">
        <x:v>460</x:v>
      </x:c>
      <x:c r="H10" s="17" t="n">
        <x:v>300</x:v>
      </x:c>
      <x:c r="I10" s="18" t="n">
        <x:f>IF(A10="","",G10+H10)</x:f>
        <x:v>760</x:v>
      </x:c>
      <x:c r="J10" s="18" t="n">
        <x:f>IF(A10="","",C10*D10+E10)</x:f>
        <x:v>344</x:v>
      </x:c>
      <x:c r="K10" s="18" t="n">
        <x:f>IF(A10="","",IF(C10&lt;=0,0,IF(I10&lt;=J10,MAX(F10,ROUNDUP(C10*(D10+Overview!$B$4)+E10-I10,0)),0)))</x:f>
        <x:v>0</x:v>
      </x:c>
      <x:c r="L10" s="19" t="n">
        <x:f>IFERROR(IF(OR(A10="",C10&lt;=0),"",I10/C10),"")</x:f>
        <x:v>23.75</x:v>
      </x:c>
      <x:c r="M10" s="4" t="str">
        <x:f>IF(A10="","",IF(C10&lt;=0,"No demand",IF(I10&lt;=J10,"Reorder now","Monitor")))</x:f>
        <x:v>Monitor</x:v>
      </x:c>
    </x:row>
    <x:row r="11">
      <x:c r="A11" s="7" t="str">
        <x:v>SKU-512</x:v>
      </x:c>
      <x:c r="B11" s="7" t="str">
        <x:v>Label roll</x:v>
      </x:c>
      <x:c r="C11" s="17" t="n">
        <x:v>0</x:v>
      </x:c>
      <x:c r="D11" s="17" t="n">
        <x:v>10</x:v>
      </x:c>
      <x:c r="E11" s="17" t="n">
        <x:v>0</x:v>
      </x:c>
      <x:c r="F11" s="17" t="n">
        <x:v>0</x:v>
      </x:c>
      <x:c r="G11" s="17" t="n">
        <x:v>900</x:v>
      </x:c>
      <x:c r="H11" s="17" t="n">
        <x:v>0</x:v>
      </x:c>
      <x:c r="I11" s="18" t="n">
        <x:f>IF(A11="","",G11+H11)</x:f>
        <x:v>900</x:v>
      </x:c>
      <x:c r="J11" s="18" t="n">
        <x:f>IF(A11="","",C11*D11+E11)</x:f>
        <x:v>0</x:v>
      </x:c>
      <x:c r="K11" s="18" t="n">
        <x:f>IF(A11="","",IF(C11&lt;=0,0,IF(I11&lt;=J11,MAX(F11,ROUNDUP(C11*(D11+Overview!$B$4)+E11-I11,0)),0)))</x:f>
        <x:v>0</x:v>
      </x:c>
      <x:c r="L11" s="19" t="str">
        <x:f>IFERROR(IF(OR(A11="",C11&lt;=0),"",I11/C11),"")</x:f>
      </x:c>
      <x:c r="M11" s="4" t="str">
        <x:f>IF(A11="","",IF(C11&lt;=0,"No demand",IF(I11&lt;=J11,"Reorder now","Monitor")))</x:f>
        <x:v>No demand</x:v>
      </x:c>
    </x:row>
    <x:row r="12">
      <x:c r="A12" s="7"/>
      <x:c r="B12" s="7"/>
      <x:c r="C12" s="17"/>
      <x:c r="D12" s="17"/>
      <x:c r="E12" s="17"/>
      <x:c r="F12" s="17"/>
      <x:c r="G12" s="17"/>
      <x:c r="H12" s="17"/>
      <x:c r="I12" s="18" t="str">
        <x:f>IF(A12="","",G12+H12)</x:f>
      </x:c>
      <x:c r="J12" s="18" t="str">
        <x:f>IF(A12="","",C12*D12+E12)</x:f>
      </x:c>
      <x:c r="K12" s="18" t="str">
        <x:f>IF(A12="","",IF(C12&lt;=0,0,IF(I12&lt;=J12,MAX(F12,ROUNDUP(C12*(D12+Overview!$B$4)+E12-I12,0)),0)))</x:f>
      </x:c>
      <x:c r="L12" s="19" t="str">
        <x:f>IFERROR(IF(OR(A12="",C12&lt;=0),"",I12/C12),"")</x:f>
      </x:c>
      <x:c r="M12" s="4" t="str">
        <x:f>IF(A12="","",IF(C12&lt;=0,"No demand",IF(I12&lt;=J12,"Reorder now","Monitor")))</x:f>
      </x:c>
    </x:row>
    <x:row r="13">
      <x:c r="A13" s="7"/>
      <x:c r="B13" s="7"/>
      <x:c r="C13" s="17"/>
      <x:c r="D13" s="17"/>
      <x:c r="E13" s="17"/>
      <x:c r="F13" s="17"/>
      <x:c r="G13" s="17"/>
      <x:c r="H13" s="17"/>
      <x:c r="I13" s="18" t="str">
        <x:f>IF(A13="","",G13+H13)</x:f>
      </x:c>
      <x:c r="J13" s="18" t="str">
        <x:f>IF(A13="","",C13*D13+E13)</x:f>
      </x:c>
      <x:c r="K13" s="18" t="str">
        <x:f>IF(A13="","",IF(C13&lt;=0,0,IF(I13&lt;=J13,MAX(F13,ROUNDUP(C13*(D13+Overview!$B$4)+E13-I13,0)),0)))</x:f>
      </x:c>
      <x:c r="L13" s="19" t="str">
        <x:f>IFERROR(IF(OR(A13="",C13&lt;=0),"",I13/C13),"")</x:f>
      </x:c>
      <x:c r="M13" s="4" t="str">
        <x:f>IF(A13="","",IF(C13&lt;=0,"No demand",IF(I13&lt;=J13,"Reorder now","Monitor")))</x:f>
      </x:c>
    </x:row>
    <x:row r="14">
      <x:c r="A14" s="7"/>
      <x:c r="B14" s="7"/>
      <x:c r="C14" s="17"/>
      <x:c r="D14" s="17"/>
      <x:c r="E14" s="17"/>
      <x:c r="F14" s="17"/>
      <x:c r="G14" s="17"/>
      <x:c r="H14" s="17"/>
      <x:c r="I14" s="18" t="str">
        <x:f>IF(A14="","",G14+H14)</x:f>
      </x:c>
      <x:c r="J14" s="18" t="str">
        <x:f>IF(A14="","",C14*D14+E14)</x:f>
      </x:c>
      <x:c r="K14" s="18" t="str">
        <x:f>IF(A14="","",IF(C14&lt;=0,0,IF(I14&lt;=J14,MAX(F14,ROUNDUP(C14*(D14+Overview!$B$4)+E14-I14,0)),0)))</x:f>
      </x:c>
      <x:c r="L14" s="19" t="str">
        <x:f>IFERROR(IF(OR(A14="",C14&lt;=0),"",I14/C14),"")</x:f>
      </x:c>
      <x:c r="M14" s="4" t="str">
        <x:f>IF(A14="","",IF(C14&lt;=0,"No demand",IF(I14&lt;=J14,"Reorder now","Monitor")))</x:f>
      </x:c>
    </x:row>
    <x:row r="15">
      <x:c r="A15" s="7"/>
      <x:c r="B15" s="7"/>
      <x:c r="C15" s="17"/>
      <x:c r="D15" s="17"/>
      <x:c r="E15" s="17"/>
      <x:c r="F15" s="17"/>
      <x:c r="G15" s="17"/>
      <x:c r="H15" s="17"/>
      <x:c r="I15" s="18" t="str">
        <x:f>IF(A15="","",G15+H15)</x:f>
      </x:c>
      <x:c r="J15" s="18" t="str">
        <x:f>IF(A15="","",C15*D15+E15)</x:f>
      </x:c>
      <x:c r="K15" s="18" t="str">
        <x:f>IF(A15="","",IF(C15&lt;=0,0,IF(I15&lt;=J15,MAX(F15,ROUNDUP(C15*(D15+Overview!$B$4)+E15-I15,0)),0)))</x:f>
      </x:c>
      <x:c r="L15" s="19" t="str">
        <x:f>IFERROR(IF(OR(A15="",C15&lt;=0),"",I15/C15),"")</x:f>
      </x:c>
      <x:c r="M15" s="4" t="str">
        <x:f>IF(A15="","",IF(C15&lt;=0,"No demand",IF(I15&lt;=J15,"Reorder now","Monitor")))</x:f>
      </x:c>
    </x:row>
    <x:row r="16">
      <x:c r="A16" s="7"/>
      <x:c r="B16" s="7"/>
      <x:c r="C16" s="17"/>
      <x:c r="D16" s="17"/>
      <x:c r="E16" s="17"/>
      <x:c r="F16" s="17"/>
      <x:c r="G16" s="17"/>
      <x:c r="H16" s="17"/>
      <x:c r="I16" s="18" t="str">
        <x:f>IF(A16="","",G16+H16)</x:f>
      </x:c>
      <x:c r="J16" s="18" t="str">
        <x:f>IF(A16="","",C16*D16+E16)</x:f>
      </x:c>
      <x:c r="K16" s="18" t="str">
        <x:f>IF(A16="","",IF(C16&lt;=0,0,IF(I16&lt;=J16,MAX(F16,ROUNDUP(C16*(D16+Overview!$B$4)+E16-I16,0)),0)))</x:f>
      </x:c>
      <x:c r="L16" s="19" t="str">
        <x:f>IFERROR(IF(OR(A16="",C16&lt;=0),"",I16/C16),"")</x:f>
      </x:c>
      <x:c r="M16" s="4" t="str">
        <x:f>IF(A16="","",IF(C16&lt;=0,"No demand",IF(I16&lt;=J16,"Reorder now","Monitor")))</x:f>
      </x:c>
    </x:row>
    <x:row r="17">
      <x:c r="A17" s="7"/>
      <x:c r="B17" s="7"/>
      <x:c r="C17" s="17"/>
      <x:c r="D17" s="17"/>
      <x:c r="E17" s="17"/>
      <x:c r="F17" s="17"/>
      <x:c r="G17" s="17"/>
      <x:c r="H17" s="17"/>
      <x:c r="I17" s="18" t="str">
        <x:f>IF(A17="","",G17+H17)</x:f>
      </x:c>
      <x:c r="J17" s="18" t="str">
        <x:f>IF(A17="","",C17*D17+E17)</x:f>
      </x:c>
      <x:c r="K17" s="18" t="str">
        <x:f>IF(A17="","",IF(C17&lt;=0,0,IF(I17&lt;=J17,MAX(F17,ROUNDUP(C17*(D17+Overview!$B$4)+E17-I17,0)),0)))</x:f>
      </x:c>
      <x:c r="L17" s="19" t="str">
        <x:f>IFERROR(IF(OR(A17="",C17&lt;=0),"",I17/C17),"")</x:f>
      </x:c>
      <x:c r="M17" s="4" t="str">
        <x:f>IF(A17="","",IF(C17&lt;=0,"No demand",IF(I17&lt;=J17,"Reorder now","Monitor")))</x:f>
      </x:c>
    </x:row>
    <x:row r="18">
      <x:c r="A18" s="7"/>
      <x:c r="B18" s="7"/>
      <x:c r="C18" s="17"/>
      <x:c r="D18" s="17"/>
      <x:c r="E18" s="17"/>
      <x:c r="F18" s="17"/>
      <x:c r="G18" s="17"/>
      <x:c r="H18" s="17"/>
      <x:c r="I18" s="18" t="str">
        <x:f>IF(A18="","",G18+H18)</x:f>
      </x:c>
      <x:c r="J18" s="18" t="str">
        <x:f>IF(A18="","",C18*D18+E18)</x:f>
      </x:c>
      <x:c r="K18" s="18" t="str">
        <x:f>IF(A18="","",IF(C18&lt;=0,0,IF(I18&lt;=J18,MAX(F18,ROUNDUP(C18*(D18+Overview!$B$4)+E18-I18,0)),0)))</x:f>
      </x:c>
      <x:c r="L18" s="19" t="str">
        <x:f>IFERROR(IF(OR(A18="",C18&lt;=0),"",I18/C18),"")</x:f>
      </x:c>
      <x:c r="M18" s="4" t="str">
        <x:f>IF(A18="","",IF(C18&lt;=0,"No demand",IF(I18&lt;=J18,"Reorder now","Monitor")))</x:f>
      </x:c>
    </x:row>
    <x:row r="19">
      <x:c r="A19" s="7"/>
      <x:c r="B19" s="7"/>
      <x:c r="C19" s="17"/>
      <x:c r="D19" s="17"/>
      <x:c r="E19" s="17"/>
      <x:c r="F19" s="17"/>
      <x:c r="G19" s="17"/>
      <x:c r="H19" s="17"/>
      <x:c r="I19" s="18" t="str">
        <x:f>IF(A19="","",G19+H19)</x:f>
      </x:c>
      <x:c r="J19" s="18" t="str">
        <x:f>IF(A19="","",C19*D19+E19)</x:f>
      </x:c>
      <x:c r="K19" s="18" t="str">
        <x:f>IF(A19="","",IF(C19&lt;=0,0,IF(I19&lt;=J19,MAX(F19,ROUNDUP(C19*(D19+Overview!$B$4)+E19-I19,0)),0)))</x:f>
      </x:c>
      <x:c r="L19" s="19" t="str">
        <x:f>IFERROR(IF(OR(A19="",C19&lt;=0),"",I19/C19),"")</x:f>
      </x:c>
      <x:c r="M19" s="4" t="str">
        <x:f>IF(A19="","",IF(C19&lt;=0,"No demand",IF(I19&lt;=J19,"Reorder now","Monitor")))</x:f>
      </x:c>
    </x:row>
    <x:row r="20">
      <x:c r="A20" s="7"/>
      <x:c r="B20" s="7"/>
      <x:c r="C20" s="17"/>
      <x:c r="D20" s="17"/>
      <x:c r="E20" s="17"/>
      <x:c r="F20" s="17"/>
      <x:c r="G20" s="17"/>
      <x:c r="H20" s="17"/>
      <x:c r="I20" s="18" t="str">
        <x:f>IF(A20="","",G20+H20)</x:f>
      </x:c>
      <x:c r="J20" s="18" t="str">
        <x:f>IF(A20="","",C20*D20+E20)</x:f>
      </x:c>
      <x:c r="K20" s="18" t="str">
        <x:f>IF(A20="","",IF(C20&lt;=0,0,IF(I20&lt;=J20,MAX(F20,ROUNDUP(C20*(D20+Overview!$B$4)+E20-I20,0)),0)))</x:f>
      </x:c>
      <x:c r="L20" s="19" t="str">
        <x:f>IFERROR(IF(OR(A20="",C20&lt;=0),"",I20/C20),"")</x:f>
      </x:c>
      <x:c r="M20" s="4" t="str">
        <x:f>IF(A20="","",IF(C20&lt;=0,"No demand",IF(I20&lt;=J20,"Reorder now","Monitor")))</x:f>
      </x:c>
    </x:row>
    <x:row r="21">
      <x:c r="A21" s="7"/>
      <x:c r="B21" s="7"/>
      <x:c r="C21" s="17"/>
      <x:c r="D21" s="17"/>
      <x:c r="E21" s="17"/>
      <x:c r="F21" s="17"/>
      <x:c r="G21" s="17"/>
      <x:c r="H21" s="17"/>
      <x:c r="I21" s="18" t="str">
        <x:f>IF(A21="","",G21+H21)</x:f>
      </x:c>
      <x:c r="J21" s="18" t="str">
        <x:f>IF(A21="","",C21*D21+E21)</x:f>
      </x:c>
      <x:c r="K21" s="18" t="str">
        <x:f>IF(A21="","",IF(C21&lt;=0,0,IF(I21&lt;=J21,MAX(F21,ROUNDUP(C21*(D21+Overview!$B$4)+E21-I21,0)),0)))</x:f>
      </x:c>
      <x:c r="L21" s="19" t="str">
        <x:f>IFERROR(IF(OR(A21="",C21&lt;=0),"",I21/C21),"")</x:f>
      </x:c>
      <x:c r="M21" s="4" t="str">
        <x:f>IF(A21="","",IF(C21&lt;=0,"No demand",IF(I21&lt;=J21,"Reorder now","Monitor")))</x:f>
      </x:c>
    </x:row>
    <x:row r="22">
      <x:c r="A22" s="7"/>
      <x:c r="B22" s="7"/>
      <x:c r="C22" s="17"/>
      <x:c r="D22" s="17"/>
      <x:c r="E22" s="17"/>
      <x:c r="F22" s="17"/>
      <x:c r="G22" s="17"/>
      <x:c r="H22" s="17"/>
      <x:c r="I22" s="18" t="str">
        <x:f>IF(A22="","",G22+H22)</x:f>
      </x:c>
      <x:c r="J22" s="18" t="str">
        <x:f>IF(A22="","",C22*D22+E22)</x:f>
      </x:c>
      <x:c r="K22" s="18" t="str">
        <x:f>IF(A22="","",IF(C22&lt;=0,0,IF(I22&lt;=J22,MAX(F22,ROUNDUP(C22*(D22+Overview!$B$4)+E22-I22,0)),0)))</x:f>
      </x:c>
      <x:c r="L22" s="19" t="str">
        <x:f>IFERROR(IF(OR(A22="",C22&lt;=0),"",I22/C22),"")</x:f>
      </x:c>
      <x:c r="M22" s="4" t="str">
        <x:f>IF(A22="","",IF(C22&lt;=0,"No demand",IF(I22&lt;=J22,"Reorder now","Monitor")))</x:f>
      </x:c>
    </x:row>
    <x:row r="23">
      <x:c r="A23" s="7"/>
      <x:c r="B23" s="7"/>
      <x:c r="C23" s="17"/>
      <x:c r="D23" s="17"/>
      <x:c r="E23" s="17"/>
      <x:c r="F23" s="17"/>
      <x:c r="G23" s="17"/>
      <x:c r="H23" s="17"/>
      <x:c r="I23" s="18" t="str">
        <x:f>IF(A23="","",G23+H23)</x:f>
      </x:c>
      <x:c r="J23" s="18" t="str">
        <x:f>IF(A23="","",C23*D23+E23)</x:f>
      </x:c>
      <x:c r="K23" s="18" t="str">
        <x:f>IF(A23="","",IF(C23&lt;=0,0,IF(I23&lt;=J23,MAX(F23,ROUNDUP(C23*(D23+Overview!$B$4)+E23-I23,0)),0)))</x:f>
      </x:c>
      <x:c r="L23" s="19" t="str">
        <x:f>IFERROR(IF(OR(A23="",C23&lt;=0),"",I23/C23),"")</x:f>
      </x:c>
      <x:c r="M23" s="4" t="str">
        <x:f>IF(A23="","",IF(C23&lt;=0,"No demand",IF(I23&lt;=J23,"Reorder now","Monitor")))</x:f>
      </x:c>
    </x:row>
    <x:row r="24">
      <x:c r="A24" s="7"/>
      <x:c r="B24" s="7"/>
      <x:c r="C24" s="17"/>
      <x:c r="D24" s="17"/>
      <x:c r="E24" s="17"/>
      <x:c r="F24" s="17"/>
      <x:c r="G24" s="17"/>
      <x:c r="H24" s="17"/>
      <x:c r="I24" s="18" t="str">
        <x:f>IF(A24="","",G24+H24)</x:f>
      </x:c>
      <x:c r="J24" s="18" t="str">
        <x:f>IF(A24="","",C24*D24+E24)</x:f>
      </x:c>
      <x:c r="K24" s="18" t="str">
        <x:f>IF(A24="","",IF(C24&lt;=0,0,IF(I24&lt;=J24,MAX(F24,ROUNDUP(C24*(D24+Overview!$B$4)+E24-I24,0)),0)))</x:f>
      </x:c>
      <x:c r="L24" s="19" t="str">
        <x:f>IFERROR(IF(OR(A24="",C24&lt;=0),"",I24/C24),"")</x:f>
      </x:c>
      <x:c r="M24" s="4" t="str">
        <x:f>IF(A24="","",IF(C24&lt;=0,"No demand",IF(I24&lt;=J24,"Reorder now","Monitor")))</x:f>
      </x:c>
    </x:row>
    <x:row r="25">
      <x:c r="A25" s="7"/>
      <x:c r="B25" s="7"/>
      <x:c r="C25" s="17"/>
      <x:c r="D25" s="17"/>
      <x:c r="E25" s="17"/>
      <x:c r="F25" s="17"/>
      <x:c r="G25" s="17"/>
      <x:c r="H25" s="17"/>
      <x:c r="I25" s="18" t="str">
        <x:f>IF(A25="","",G25+H25)</x:f>
      </x:c>
      <x:c r="J25" s="18" t="str">
        <x:f>IF(A25="","",C25*D25+E25)</x:f>
      </x:c>
      <x:c r="K25" s="18" t="str">
        <x:f>IF(A25="","",IF(C25&lt;=0,0,IF(I25&lt;=J25,MAX(F25,ROUNDUP(C25*(D25+Overview!$B$4)+E25-I25,0)),0)))</x:f>
      </x:c>
      <x:c r="L25" s="19" t="str">
        <x:f>IFERROR(IF(OR(A25="",C25&lt;=0),"",I25/C25),"")</x:f>
      </x:c>
      <x:c r="M25" s="4" t="str">
        <x:f>IF(A25="","",IF(C25&lt;=0,"No demand",IF(I25&lt;=J25,"Reorder now","Monitor")))</x:f>
      </x:c>
    </x:row>
    <x:row r="26">
      <x:c r="A26" s="7"/>
      <x:c r="B26" s="7"/>
      <x:c r="C26" s="17"/>
      <x:c r="D26" s="17"/>
      <x:c r="E26" s="17"/>
      <x:c r="F26" s="17"/>
      <x:c r="G26" s="17"/>
      <x:c r="H26" s="17"/>
      <x:c r="I26" s="18" t="str">
        <x:f>IF(A26="","",G26+H26)</x:f>
      </x:c>
      <x:c r="J26" s="18" t="str">
        <x:f>IF(A26="","",C26*D26+E26)</x:f>
      </x:c>
      <x:c r="K26" s="18" t="str">
        <x:f>IF(A26="","",IF(C26&lt;=0,0,IF(I26&lt;=J26,MAX(F26,ROUNDUP(C26*(D26+Overview!$B$4)+E26-I26,0)),0)))</x:f>
      </x:c>
      <x:c r="L26" s="19" t="str">
        <x:f>IFERROR(IF(OR(A26="",C26&lt;=0),"",I26/C26),"")</x:f>
      </x:c>
      <x:c r="M26" s="4" t="str">
        <x:f>IF(A26="","",IF(C26&lt;=0,"No demand",IF(I26&lt;=J26,"Reorder now","Monitor")))</x:f>
      </x:c>
    </x:row>
    <x:row r="27">
      <x:c r="A27" s="7"/>
      <x:c r="B27" s="7"/>
      <x:c r="C27" s="17"/>
      <x:c r="D27" s="17"/>
      <x:c r="E27" s="17"/>
      <x:c r="F27" s="17"/>
      <x:c r="G27" s="17"/>
      <x:c r="H27" s="17"/>
      <x:c r="I27" s="18" t="str">
        <x:f>IF(A27="","",G27+H27)</x:f>
      </x:c>
      <x:c r="J27" s="18" t="str">
        <x:f>IF(A27="","",C27*D27+E27)</x:f>
      </x:c>
      <x:c r="K27" s="18" t="str">
        <x:f>IF(A27="","",IF(C27&lt;=0,0,IF(I27&lt;=J27,MAX(F27,ROUNDUP(C27*(D27+Overview!$B$4)+E27-I27,0)),0)))</x:f>
      </x:c>
      <x:c r="L27" s="19" t="str">
        <x:f>IFERROR(IF(OR(A27="",C27&lt;=0),"",I27/C27),"")</x:f>
      </x:c>
      <x:c r="M27" s="4" t="str">
        <x:f>IF(A27="","",IF(C27&lt;=0,"No demand",IF(I27&lt;=J27,"Reorder now","Monitor")))</x:f>
      </x:c>
    </x:row>
    <x:row r="28">
      <x:c r="A28" s="7"/>
      <x:c r="B28" s="7"/>
      <x:c r="C28" s="17"/>
      <x:c r="D28" s="17"/>
      <x:c r="E28" s="17"/>
      <x:c r="F28" s="17"/>
      <x:c r="G28" s="17"/>
      <x:c r="H28" s="17"/>
      <x:c r="I28" s="18" t="str">
        <x:f>IF(A28="","",G28+H28)</x:f>
      </x:c>
      <x:c r="J28" s="18" t="str">
        <x:f>IF(A28="","",C28*D28+E28)</x:f>
      </x:c>
      <x:c r="K28" s="18" t="str">
        <x:f>IF(A28="","",IF(C28&lt;=0,0,IF(I28&lt;=J28,MAX(F28,ROUNDUP(C28*(D28+Overview!$B$4)+E28-I28,0)),0)))</x:f>
      </x:c>
      <x:c r="L28" s="19" t="str">
        <x:f>IFERROR(IF(OR(A28="",C28&lt;=0),"",I28/C28),"")</x:f>
      </x:c>
      <x:c r="M28" s="4" t="str">
        <x:f>IF(A28="","",IF(C28&lt;=0,"No demand",IF(I28&lt;=J28,"Reorder now","Monitor")))</x:f>
      </x:c>
    </x:row>
    <x:row r="29">
      <x:c r="A29" s="7"/>
      <x:c r="B29" s="7"/>
      <x:c r="C29" s="17"/>
      <x:c r="D29" s="17"/>
      <x:c r="E29" s="17"/>
      <x:c r="F29" s="17"/>
      <x:c r="G29" s="17"/>
      <x:c r="H29" s="17"/>
      <x:c r="I29" s="18" t="str">
        <x:f>IF(A29="","",G29+H29)</x:f>
      </x:c>
      <x:c r="J29" s="18" t="str">
        <x:f>IF(A29="","",C29*D29+E29)</x:f>
      </x:c>
      <x:c r="K29" s="18" t="str">
        <x:f>IF(A29="","",IF(C29&lt;=0,0,IF(I29&lt;=J29,MAX(F29,ROUNDUP(C29*(D29+Overview!$B$4)+E29-I29,0)),0)))</x:f>
      </x:c>
      <x:c r="L29" s="19" t="str">
        <x:f>IFERROR(IF(OR(A29="",C29&lt;=0),"",I29/C29),"")</x:f>
      </x:c>
      <x:c r="M29" s="4" t="str">
        <x:f>IF(A29="","",IF(C29&lt;=0,"No demand",IF(I29&lt;=J29,"Reorder now","Monitor")))</x:f>
      </x:c>
    </x:row>
    <x:row r="30">
      <x:c r="A30" s="7"/>
      <x:c r="B30" s="7"/>
      <x:c r="C30" s="17"/>
      <x:c r="D30" s="17"/>
      <x:c r="E30" s="17"/>
      <x:c r="F30" s="17"/>
      <x:c r="G30" s="17"/>
      <x:c r="H30" s="17"/>
      <x:c r="I30" s="18" t="str">
        <x:f>IF(A30="","",G30+H30)</x:f>
      </x:c>
      <x:c r="J30" s="18" t="str">
        <x:f>IF(A30="","",C30*D30+E30)</x:f>
      </x:c>
      <x:c r="K30" s="18" t="str">
        <x:f>IF(A30="","",IF(C30&lt;=0,0,IF(I30&lt;=J30,MAX(F30,ROUNDUP(C30*(D30+Overview!$B$4)+E30-I30,0)),0)))</x:f>
      </x:c>
      <x:c r="L30" s="19" t="str">
        <x:f>IFERROR(IF(OR(A30="",C30&lt;=0),"",I30/C30),"")</x:f>
      </x:c>
      <x:c r="M30" s="4" t="str">
        <x:f>IF(A30="","",IF(C30&lt;=0,"No demand",IF(I30&lt;=J30,"Reorder now","Monitor")))</x:f>
      </x:c>
    </x:row>
    <x:row r="31">
      <x:c r="A31" s="7"/>
      <x:c r="B31" s="7"/>
      <x:c r="C31" s="17"/>
      <x:c r="D31" s="17"/>
      <x:c r="E31" s="17"/>
      <x:c r="F31" s="17"/>
      <x:c r="G31" s="17"/>
      <x:c r="H31" s="17"/>
      <x:c r="I31" s="18" t="str">
        <x:f>IF(A31="","",G31+H31)</x:f>
      </x:c>
      <x:c r="J31" s="18" t="str">
        <x:f>IF(A31="","",C31*D31+E31)</x:f>
      </x:c>
      <x:c r="K31" s="18" t="str">
        <x:f>IF(A31="","",IF(C31&lt;=0,0,IF(I31&lt;=J31,MAX(F31,ROUNDUP(C31*(D31+Overview!$B$4)+E31-I31,0)),0)))</x:f>
      </x:c>
      <x:c r="L31" s="19" t="str">
        <x:f>IFERROR(IF(OR(A31="",C31&lt;=0),"",I31/C31),"")</x:f>
      </x:c>
      <x:c r="M31" s="4" t="str">
        <x:f>IF(A31="","",IF(C31&lt;=0,"No demand",IF(I31&lt;=J31,"Reorder now","Monitor")))</x:f>
      </x:c>
    </x:row>
    <x:row r="32">
      <x:c r="A32" s="7"/>
      <x:c r="B32" s="7"/>
      <x:c r="C32" s="17"/>
      <x:c r="D32" s="17"/>
      <x:c r="E32" s="17"/>
      <x:c r="F32" s="17"/>
      <x:c r="G32" s="17"/>
      <x:c r="H32" s="17"/>
      <x:c r="I32" s="18" t="str">
        <x:f>IF(A32="","",G32+H32)</x:f>
      </x:c>
      <x:c r="J32" s="18" t="str">
        <x:f>IF(A32="","",C32*D32+E32)</x:f>
      </x:c>
      <x:c r="K32" s="18" t="str">
        <x:f>IF(A32="","",IF(C32&lt;=0,0,IF(I32&lt;=J32,MAX(F32,ROUNDUP(C32*(D32+Overview!$B$4)+E32-I32,0)),0)))</x:f>
      </x:c>
      <x:c r="L32" s="19" t="str">
        <x:f>IFERROR(IF(OR(A32="",C32&lt;=0),"",I32/C32),"")</x:f>
      </x:c>
      <x:c r="M32" s="4" t="str">
        <x:f>IF(A32="","",IF(C32&lt;=0,"No demand",IF(I32&lt;=J32,"Reorder now","Monitor")))</x:f>
      </x:c>
    </x:row>
    <x:row r="33">
      <x:c r="A33" s="7"/>
      <x:c r="B33" s="7"/>
      <x:c r="C33" s="17"/>
      <x:c r="D33" s="17"/>
      <x:c r="E33" s="17"/>
      <x:c r="F33" s="17"/>
      <x:c r="G33" s="17"/>
      <x:c r="H33" s="17"/>
      <x:c r="I33" s="18" t="str">
        <x:f>IF(A33="","",G33+H33)</x:f>
      </x:c>
      <x:c r="J33" s="18" t="str">
        <x:f>IF(A33="","",C33*D33+E33)</x:f>
      </x:c>
      <x:c r="K33" s="18" t="str">
        <x:f>IF(A33="","",IF(C33&lt;=0,0,IF(I33&lt;=J33,MAX(F33,ROUNDUP(C33*(D33+Overview!$B$4)+E33-I33,0)),0)))</x:f>
      </x:c>
      <x:c r="L33" s="19" t="str">
        <x:f>IFERROR(IF(OR(A33="",C33&lt;=0),"",I33/C33),"")</x:f>
      </x:c>
      <x:c r="M33" s="4" t="str">
        <x:f>IF(A33="","",IF(C33&lt;=0,"No demand",IF(I33&lt;=J33,"Reorder now","Monitor")))</x:f>
      </x:c>
    </x:row>
    <x:row r="34">
      <x:c r="A34" s="7"/>
      <x:c r="B34" s="7"/>
      <x:c r="C34" s="17"/>
      <x:c r="D34" s="17"/>
      <x:c r="E34" s="17"/>
      <x:c r="F34" s="17"/>
      <x:c r="G34" s="17"/>
      <x:c r="H34" s="17"/>
      <x:c r="I34" s="18" t="str">
        <x:f>IF(A34="","",G34+H34)</x:f>
      </x:c>
      <x:c r="J34" s="18" t="str">
        <x:f>IF(A34="","",C34*D34+E34)</x:f>
      </x:c>
      <x:c r="K34" s="18" t="str">
        <x:f>IF(A34="","",IF(C34&lt;=0,0,IF(I34&lt;=J34,MAX(F34,ROUNDUP(C34*(D34+Overview!$B$4)+E34-I34,0)),0)))</x:f>
      </x:c>
      <x:c r="L34" s="19" t="str">
        <x:f>IFERROR(IF(OR(A34="",C34&lt;=0),"",I34/C34),"")</x:f>
      </x:c>
      <x:c r="M34" s="4" t="str">
        <x:f>IF(A34="","",IF(C34&lt;=0,"No demand",IF(I34&lt;=J34,"Reorder now","Monitor")))</x:f>
      </x:c>
    </x:row>
    <x:row r="35">
      <x:c r="A35" s="7"/>
      <x:c r="B35" s="7"/>
      <x:c r="C35" s="17"/>
      <x:c r="D35" s="17"/>
      <x:c r="E35" s="17"/>
      <x:c r="F35" s="17"/>
      <x:c r="G35" s="17"/>
      <x:c r="H35" s="17"/>
      <x:c r="I35" s="18" t="str">
        <x:f>IF(A35="","",G35+H35)</x:f>
      </x:c>
      <x:c r="J35" s="18" t="str">
        <x:f>IF(A35="","",C35*D35+E35)</x:f>
      </x:c>
      <x:c r="K35" s="18" t="str">
        <x:f>IF(A35="","",IF(C35&lt;=0,0,IF(I35&lt;=J35,MAX(F35,ROUNDUP(C35*(D35+Overview!$B$4)+E35-I35,0)),0)))</x:f>
      </x:c>
      <x:c r="L35" s="19" t="str">
        <x:f>IFERROR(IF(OR(A35="",C35&lt;=0),"",I35/C35),"")</x:f>
      </x:c>
      <x:c r="M35" s="4" t="str">
        <x:f>IF(A35="","",IF(C35&lt;=0,"No demand",IF(I35&lt;=J35,"Reorder now","Monitor")))</x:f>
      </x:c>
    </x:row>
    <x:row r="36">
      <x:c r="A36" s="7"/>
      <x:c r="B36" s="7"/>
      <x:c r="C36" s="17"/>
      <x:c r="D36" s="17"/>
      <x:c r="E36" s="17"/>
      <x:c r="F36" s="17"/>
      <x:c r="G36" s="17"/>
      <x:c r="H36" s="17"/>
      <x:c r="I36" s="18" t="str">
        <x:f>IF(A36="","",G36+H36)</x:f>
      </x:c>
      <x:c r="J36" s="18" t="str">
        <x:f>IF(A36="","",C36*D36+E36)</x:f>
      </x:c>
      <x:c r="K36" s="18" t="str">
        <x:f>IF(A36="","",IF(C36&lt;=0,0,IF(I36&lt;=J36,MAX(F36,ROUNDUP(C36*(D36+Overview!$B$4)+E36-I36,0)),0)))</x:f>
      </x:c>
      <x:c r="L36" s="19" t="str">
        <x:f>IFERROR(IF(OR(A36="",C36&lt;=0),"",I36/C36),"")</x:f>
      </x:c>
      <x:c r="M36" s="4" t="str">
        <x:f>IF(A36="","",IF(C36&lt;=0,"No demand",IF(I36&lt;=J36,"Reorder now","Monitor")))</x:f>
      </x:c>
    </x:row>
    <x:row r="37">
      <x:c r="A37" s="7"/>
      <x:c r="B37" s="7"/>
      <x:c r="C37" s="17"/>
      <x:c r="D37" s="17"/>
      <x:c r="E37" s="17"/>
      <x:c r="F37" s="17"/>
      <x:c r="G37" s="17"/>
      <x:c r="H37" s="17"/>
      <x:c r="I37" s="18" t="str">
        <x:f>IF(A37="","",G37+H37)</x:f>
      </x:c>
      <x:c r="J37" s="18" t="str">
        <x:f>IF(A37="","",C37*D37+E37)</x:f>
      </x:c>
      <x:c r="K37" s="18" t="str">
        <x:f>IF(A37="","",IF(C37&lt;=0,0,IF(I37&lt;=J37,MAX(F37,ROUNDUP(C37*(D37+Overview!$B$4)+E37-I37,0)),0)))</x:f>
      </x:c>
      <x:c r="L37" s="19" t="str">
        <x:f>IFERROR(IF(OR(A37="",C37&lt;=0),"",I37/C37),"")</x:f>
      </x:c>
      <x:c r="M37" s="4" t="str">
        <x:f>IF(A37="","",IF(C37&lt;=0,"No demand",IF(I37&lt;=J37,"Reorder now","Monitor")))</x:f>
      </x:c>
    </x:row>
    <x:row r="38">
      <x:c r="A38" s="7"/>
      <x:c r="B38" s="7"/>
      <x:c r="C38" s="17"/>
      <x:c r="D38" s="17"/>
      <x:c r="E38" s="17"/>
      <x:c r="F38" s="17"/>
      <x:c r="G38" s="17"/>
      <x:c r="H38" s="17"/>
      <x:c r="I38" s="18" t="str">
        <x:f>IF(A38="","",G38+H38)</x:f>
      </x:c>
      <x:c r="J38" s="18" t="str">
        <x:f>IF(A38="","",C38*D38+E38)</x:f>
      </x:c>
      <x:c r="K38" s="18" t="str">
        <x:f>IF(A38="","",IF(C38&lt;=0,0,IF(I38&lt;=J38,MAX(F38,ROUNDUP(C38*(D38+Overview!$B$4)+E38-I38,0)),0)))</x:f>
      </x:c>
      <x:c r="L38" s="19" t="str">
        <x:f>IFERROR(IF(OR(A38="",C38&lt;=0),"",I38/C38),"")</x:f>
      </x:c>
      <x:c r="M38" s="4" t="str">
        <x:f>IF(A38="","",IF(C38&lt;=0,"No demand",IF(I38&lt;=J38,"Reorder now","Monitor")))</x:f>
      </x:c>
    </x:row>
    <x:row r="39">
      <x:c r="A39" s="7"/>
      <x:c r="B39" s="7"/>
      <x:c r="C39" s="17"/>
      <x:c r="D39" s="17"/>
      <x:c r="E39" s="17"/>
      <x:c r="F39" s="17"/>
      <x:c r="G39" s="17"/>
      <x:c r="H39" s="17"/>
      <x:c r="I39" s="18" t="str">
        <x:f>IF(A39="","",G39+H39)</x:f>
      </x:c>
      <x:c r="J39" s="18" t="str">
        <x:f>IF(A39="","",C39*D39+E39)</x:f>
      </x:c>
      <x:c r="K39" s="18" t="str">
        <x:f>IF(A39="","",IF(C39&lt;=0,0,IF(I39&lt;=J39,MAX(F39,ROUNDUP(C39*(D39+Overview!$B$4)+E39-I39,0)),0)))</x:f>
      </x:c>
      <x:c r="L39" s="19" t="str">
        <x:f>IFERROR(IF(OR(A39="",C39&lt;=0),"",I39/C39),"")</x:f>
      </x:c>
      <x:c r="M39" s="4" t="str">
        <x:f>IF(A39="","",IF(C39&lt;=0,"No demand",IF(I39&lt;=J39,"Reorder now","Monitor")))</x:f>
      </x:c>
    </x:row>
    <x:row r="40">
      <x:c r="A40" s="7"/>
      <x:c r="B40" s="7"/>
      <x:c r="C40" s="17"/>
      <x:c r="D40" s="17"/>
      <x:c r="E40" s="17"/>
      <x:c r="F40" s="17"/>
      <x:c r="G40" s="17"/>
      <x:c r="H40" s="17"/>
      <x:c r="I40" s="18" t="str">
        <x:f>IF(A40="","",G40+H40)</x:f>
      </x:c>
      <x:c r="J40" s="18" t="str">
        <x:f>IF(A40="","",C40*D40+E40)</x:f>
      </x:c>
      <x:c r="K40" s="18" t="str">
        <x:f>IF(A40="","",IF(C40&lt;=0,0,IF(I40&lt;=J40,MAX(F40,ROUNDUP(C40*(D40+Overview!$B$4)+E40-I40,0)),0)))</x:f>
      </x:c>
      <x:c r="L40" s="19" t="str">
        <x:f>IFERROR(IF(OR(A40="",C40&lt;=0),"",I40/C40),"")</x:f>
      </x:c>
      <x:c r="M40" s="4" t="str">
        <x:f>IF(A40="","",IF(C40&lt;=0,"No demand",IF(I40&lt;=J40,"Reorder now","Monitor")))</x:f>
      </x:c>
    </x:row>
    <x:row r="41">
      <x:c r="A41" s="7"/>
      <x:c r="B41" s="7"/>
      <x:c r="C41" s="17"/>
      <x:c r="D41" s="17"/>
      <x:c r="E41" s="17"/>
      <x:c r="F41" s="17"/>
      <x:c r="G41" s="17"/>
      <x:c r="H41" s="17"/>
      <x:c r="I41" s="18" t="str">
        <x:f>IF(A41="","",G41+H41)</x:f>
      </x:c>
      <x:c r="J41" s="18" t="str">
        <x:f>IF(A41="","",C41*D41+E41)</x:f>
      </x:c>
      <x:c r="K41" s="18" t="str">
        <x:f>IF(A41="","",IF(C41&lt;=0,0,IF(I41&lt;=J41,MAX(F41,ROUNDUP(C41*(D41+Overview!$B$4)+E41-I41,0)),0)))</x:f>
      </x:c>
      <x:c r="L41" s="19" t="str">
        <x:f>IFERROR(IF(OR(A41="",C41&lt;=0),"",I41/C41),"")</x:f>
      </x:c>
      <x:c r="M41" s="4" t="str">
        <x:f>IF(A41="","",IF(C41&lt;=0,"No demand",IF(I41&lt;=J41,"Reorder now","Monitor")))</x:f>
      </x:c>
    </x:row>
    <x:row r="42">
      <x:c r="A42" s="7"/>
      <x:c r="B42" s="7"/>
      <x:c r="C42" s="17"/>
      <x:c r="D42" s="17"/>
      <x:c r="E42" s="17"/>
      <x:c r="F42" s="17"/>
      <x:c r="G42" s="17"/>
      <x:c r="H42" s="17"/>
      <x:c r="I42" s="18" t="str">
        <x:f>IF(A42="","",G42+H42)</x:f>
      </x:c>
      <x:c r="J42" s="18" t="str">
        <x:f>IF(A42="","",C42*D42+E42)</x:f>
      </x:c>
      <x:c r="K42" s="18" t="str">
        <x:f>IF(A42="","",IF(C42&lt;=0,0,IF(I42&lt;=J42,MAX(F42,ROUNDUP(C42*(D42+Overview!$B$4)+E42-I42,0)),0)))</x:f>
      </x:c>
      <x:c r="L42" s="19" t="str">
        <x:f>IFERROR(IF(OR(A42="",C42&lt;=0),"",I42/C42),"")</x:f>
      </x:c>
      <x:c r="M42" s="4" t="str">
        <x:f>IF(A42="","",IF(C42&lt;=0,"No demand",IF(I42&lt;=J42,"Reorder now","Monitor")))</x:f>
      </x:c>
    </x:row>
    <x:row r="43">
      <x:c r="A43" s="7"/>
      <x:c r="B43" s="7"/>
      <x:c r="C43" s="17"/>
      <x:c r="D43" s="17"/>
      <x:c r="E43" s="17"/>
      <x:c r="F43" s="17"/>
      <x:c r="G43" s="17"/>
      <x:c r="H43" s="17"/>
      <x:c r="I43" s="18" t="str">
        <x:f>IF(A43="","",G43+H43)</x:f>
      </x:c>
      <x:c r="J43" s="18" t="str">
        <x:f>IF(A43="","",C43*D43+E43)</x:f>
      </x:c>
      <x:c r="K43" s="18" t="str">
        <x:f>IF(A43="","",IF(C43&lt;=0,0,IF(I43&lt;=J43,MAX(F43,ROUNDUP(C43*(D43+Overview!$B$4)+E43-I43,0)),0)))</x:f>
      </x:c>
      <x:c r="L43" s="19" t="str">
        <x:f>IFERROR(IF(OR(A43="",C43&lt;=0),"",I43/C43),"")</x:f>
      </x:c>
      <x:c r="M43" s="4" t="str">
        <x:f>IF(A43="","",IF(C43&lt;=0,"No demand",IF(I43&lt;=J43,"Reorder now","Monitor")))</x:f>
      </x:c>
    </x:row>
    <x:row r="44">
      <x:c r="A44" s="7"/>
      <x:c r="B44" s="7"/>
      <x:c r="C44" s="17"/>
      <x:c r="D44" s="17"/>
      <x:c r="E44" s="17"/>
      <x:c r="F44" s="17"/>
      <x:c r="G44" s="17"/>
      <x:c r="H44" s="17"/>
      <x:c r="I44" s="18" t="str">
        <x:f>IF(A44="","",G44+H44)</x:f>
      </x:c>
      <x:c r="J44" s="18" t="str">
        <x:f>IF(A44="","",C44*D44+E44)</x:f>
      </x:c>
      <x:c r="K44" s="18" t="str">
        <x:f>IF(A44="","",IF(C44&lt;=0,0,IF(I44&lt;=J44,MAX(F44,ROUNDUP(C44*(D44+Overview!$B$4)+E44-I44,0)),0)))</x:f>
      </x:c>
      <x:c r="L44" s="19" t="str">
        <x:f>IFERROR(IF(OR(A44="",C44&lt;=0),"",I44/C44),"")</x:f>
      </x:c>
      <x:c r="M44" s="4" t="str">
        <x:f>IF(A44="","",IF(C44&lt;=0,"No demand",IF(I44&lt;=J44,"Reorder now","Monitor")))</x:f>
      </x:c>
    </x:row>
    <x:row r="45">
      <x:c r="A45" s="7"/>
      <x:c r="B45" s="7"/>
      <x:c r="C45" s="17"/>
      <x:c r="D45" s="17"/>
      <x:c r="E45" s="17"/>
      <x:c r="F45" s="17"/>
      <x:c r="G45" s="17"/>
      <x:c r="H45" s="17"/>
      <x:c r="I45" s="18" t="str">
        <x:f>IF(A45="","",G45+H45)</x:f>
      </x:c>
      <x:c r="J45" s="18" t="str">
        <x:f>IF(A45="","",C45*D45+E45)</x:f>
      </x:c>
      <x:c r="K45" s="18" t="str">
        <x:f>IF(A45="","",IF(C45&lt;=0,0,IF(I45&lt;=J45,MAX(F45,ROUNDUP(C45*(D45+Overview!$B$4)+E45-I45,0)),0)))</x:f>
      </x:c>
      <x:c r="L45" s="19" t="str">
        <x:f>IFERROR(IF(OR(A45="",C45&lt;=0),"",I45/C45),"")</x:f>
      </x:c>
      <x:c r="M45" s="4" t="str">
        <x:f>IF(A45="","",IF(C45&lt;=0,"No demand",IF(I45&lt;=J45,"Reorder now","Monitor")))</x:f>
      </x:c>
    </x:row>
    <x:row r="46">
      <x:c r="A46" s="7"/>
      <x:c r="B46" s="7"/>
      <x:c r="C46" s="17"/>
      <x:c r="D46" s="17"/>
      <x:c r="E46" s="17"/>
      <x:c r="F46" s="17"/>
      <x:c r="G46" s="17"/>
      <x:c r="H46" s="17"/>
      <x:c r="I46" s="18" t="str">
        <x:f>IF(A46="","",G46+H46)</x:f>
      </x:c>
      <x:c r="J46" s="18" t="str">
        <x:f>IF(A46="","",C46*D46+E46)</x:f>
      </x:c>
      <x:c r="K46" s="18" t="str">
        <x:f>IF(A46="","",IF(C46&lt;=0,0,IF(I46&lt;=J46,MAX(F46,ROUNDUP(C46*(D46+Overview!$B$4)+E46-I46,0)),0)))</x:f>
      </x:c>
      <x:c r="L46" s="19" t="str">
        <x:f>IFERROR(IF(OR(A46="",C46&lt;=0),"",I46/C46),"")</x:f>
      </x:c>
      <x:c r="M46" s="4" t="str">
        <x:f>IF(A46="","",IF(C46&lt;=0,"No demand",IF(I46&lt;=J46,"Reorder now","Monitor")))</x:f>
      </x:c>
    </x:row>
    <x:row r="47">
      <x:c r="A47" s="7"/>
      <x:c r="B47" s="7"/>
      <x:c r="C47" s="17"/>
      <x:c r="D47" s="17"/>
      <x:c r="E47" s="17"/>
      <x:c r="F47" s="17"/>
      <x:c r="G47" s="17"/>
      <x:c r="H47" s="17"/>
      <x:c r="I47" s="18" t="str">
        <x:f>IF(A47="","",G47+H47)</x:f>
      </x:c>
      <x:c r="J47" s="18" t="str">
        <x:f>IF(A47="","",C47*D47+E47)</x:f>
      </x:c>
      <x:c r="K47" s="18" t="str">
        <x:f>IF(A47="","",IF(C47&lt;=0,0,IF(I47&lt;=J47,MAX(F47,ROUNDUP(C47*(D47+Overview!$B$4)+E47-I47,0)),0)))</x:f>
      </x:c>
      <x:c r="L47" s="19" t="str">
        <x:f>IFERROR(IF(OR(A47="",C47&lt;=0),"",I47/C47),"")</x:f>
      </x:c>
      <x:c r="M47" s="4" t="str">
        <x:f>IF(A47="","",IF(C47&lt;=0,"No demand",IF(I47&lt;=J47,"Reorder now","Monitor")))</x:f>
      </x:c>
    </x:row>
    <x:row r="48">
      <x:c r="A48" s="7"/>
      <x:c r="B48" s="7"/>
      <x:c r="C48" s="17"/>
      <x:c r="D48" s="17"/>
      <x:c r="E48" s="17"/>
      <x:c r="F48" s="17"/>
      <x:c r="G48" s="17"/>
      <x:c r="H48" s="17"/>
      <x:c r="I48" s="18" t="str">
        <x:f>IF(A48="","",G48+H48)</x:f>
      </x:c>
      <x:c r="J48" s="18" t="str">
        <x:f>IF(A48="","",C48*D48+E48)</x:f>
      </x:c>
      <x:c r="K48" s="18" t="str">
        <x:f>IF(A48="","",IF(C48&lt;=0,0,IF(I48&lt;=J48,MAX(F48,ROUNDUP(C48*(D48+Overview!$B$4)+E48-I48,0)),0)))</x:f>
      </x:c>
      <x:c r="L48" s="19" t="str">
        <x:f>IFERROR(IF(OR(A48="",C48&lt;=0),"",I48/C48),"")</x:f>
      </x:c>
      <x:c r="M48" s="4" t="str">
        <x:f>IF(A48="","",IF(C48&lt;=0,"No demand",IF(I48&lt;=J48,"Reorder now","Monitor")))</x:f>
      </x:c>
    </x:row>
    <x:row r="49">
      <x:c r="A49" s="7"/>
      <x:c r="B49" s="7"/>
      <x:c r="C49" s="17"/>
      <x:c r="D49" s="17"/>
      <x:c r="E49" s="17"/>
      <x:c r="F49" s="17"/>
      <x:c r="G49" s="17"/>
      <x:c r="H49" s="17"/>
      <x:c r="I49" s="18" t="str">
        <x:f>IF(A49="","",G49+H49)</x:f>
      </x:c>
      <x:c r="J49" s="18" t="str">
        <x:f>IF(A49="","",C49*D49+E49)</x:f>
      </x:c>
      <x:c r="K49" s="18" t="str">
        <x:f>IF(A49="","",IF(C49&lt;=0,0,IF(I49&lt;=J49,MAX(F49,ROUNDUP(C49*(D49+Overview!$B$4)+E49-I49,0)),0)))</x:f>
      </x:c>
      <x:c r="L49" s="19" t="str">
        <x:f>IFERROR(IF(OR(A49="",C49&lt;=0),"",I49/C49),"")</x:f>
      </x:c>
      <x:c r="M49" s="4" t="str">
        <x:f>IF(A49="","",IF(C49&lt;=0,"No demand",IF(I49&lt;=J49,"Reorder now","Monitor")))</x:f>
      </x:c>
    </x:row>
    <x:row r="50">
      <x:c r="A50" s="7"/>
      <x:c r="B50" s="7"/>
      <x:c r="C50" s="17"/>
      <x:c r="D50" s="17"/>
      <x:c r="E50" s="17"/>
      <x:c r="F50" s="17"/>
      <x:c r="G50" s="17"/>
      <x:c r="H50" s="17"/>
      <x:c r="I50" s="18" t="str">
        <x:f>IF(A50="","",G50+H50)</x:f>
      </x:c>
      <x:c r="J50" s="18" t="str">
        <x:f>IF(A50="","",C50*D50+E50)</x:f>
      </x:c>
      <x:c r="K50" s="18" t="str">
        <x:f>IF(A50="","",IF(C50&lt;=0,0,IF(I50&lt;=J50,MAX(F50,ROUNDUP(C50*(D50+Overview!$B$4)+E50-I50,0)),0)))</x:f>
      </x:c>
      <x:c r="L50" s="19" t="str">
        <x:f>IFERROR(IF(OR(A50="",C50&lt;=0),"",I50/C50),"")</x:f>
      </x:c>
      <x:c r="M50" s="4" t="str">
        <x:f>IF(A50="","",IF(C50&lt;=0,"No demand",IF(I50&lt;=J50,"Reorder now","Monitor")))</x:f>
      </x:c>
    </x:row>
    <x:row r="51">
      <x:c r="A51" s="7"/>
      <x:c r="B51" s="7"/>
      <x:c r="C51" s="17"/>
      <x:c r="D51" s="17"/>
      <x:c r="E51" s="17"/>
      <x:c r="F51" s="17"/>
      <x:c r="G51" s="17"/>
      <x:c r="H51" s="17"/>
      <x:c r="I51" s="18" t="str">
        <x:f>IF(A51="","",G51+H51)</x:f>
      </x:c>
      <x:c r="J51" s="18" t="str">
        <x:f>IF(A51="","",C51*D51+E51)</x:f>
      </x:c>
      <x:c r="K51" s="18" t="str">
        <x:f>IF(A51="","",IF(C51&lt;=0,0,IF(I51&lt;=J51,MAX(F51,ROUNDUP(C51*(D51+Overview!$B$4)+E51-I51,0)),0)))</x:f>
      </x:c>
      <x:c r="L51" s="19" t="str">
        <x:f>IFERROR(IF(OR(A51="",C51&lt;=0),"",I51/C51),"")</x:f>
      </x:c>
      <x:c r="M51" s="4" t="str">
        <x:f>IF(A51="","",IF(C51&lt;=0,"No demand",IF(I51&lt;=J51,"Reorder now","Monitor")))</x:f>
      </x:c>
    </x:row>
    <x:row r="52">
      <x:c r="A52" s="7"/>
      <x:c r="B52" s="7"/>
      <x:c r="C52" s="17"/>
      <x:c r="D52" s="17"/>
      <x:c r="E52" s="17"/>
      <x:c r="F52" s="17"/>
      <x:c r="G52" s="17"/>
      <x:c r="H52" s="17"/>
      <x:c r="I52" s="18" t="str">
        <x:f>IF(A52="","",G52+H52)</x:f>
      </x:c>
      <x:c r="J52" s="18" t="str">
        <x:f>IF(A52="","",C52*D52+E52)</x:f>
      </x:c>
      <x:c r="K52" s="18" t="str">
        <x:f>IF(A52="","",IF(C52&lt;=0,0,IF(I52&lt;=J52,MAX(F52,ROUNDUP(C52*(D52+Overview!$B$4)+E52-I52,0)),0)))</x:f>
      </x:c>
      <x:c r="L52" s="19" t="str">
        <x:f>IFERROR(IF(OR(A52="",C52&lt;=0),"",I52/C52),"")</x:f>
      </x:c>
      <x:c r="M52" s="4" t="str">
        <x:f>IF(A52="","",IF(C52&lt;=0,"No demand",IF(I52&lt;=J52,"Reorder now","Monitor")))</x:f>
      </x:c>
    </x:row>
    <x:row r="53">
      <x:c r="A53" s="7"/>
      <x:c r="B53" s="7"/>
      <x:c r="C53" s="17"/>
      <x:c r="D53" s="17"/>
      <x:c r="E53" s="17"/>
      <x:c r="F53" s="17"/>
      <x:c r="G53" s="17"/>
      <x:c r="H53" s="17"/>
      <x:c r="I53" s="18" t="str">
        <x:f>IF(A53="","",G53+H53)</x:f>
      </x:c>
      <x:c r="J53" s="18" t="str">
        <x:f>IF(A53="","",C53*D53+E53)</x:f>
      </x:c>
      <x:c r="K53" s="18" t="str">
        <x:f>IF(A53="","",IF(C53&lt;=0,0,IF(I53&lt;=J53,MAX(F53,ROUNDUP(C53*(D53+Overview!$B$4)+E53-I53,0)),0)))</x:f>
      </x:c>
      <x:c r="L53" s="19" t="str">
        <x:f>IFERROR(IF(OR(A53="",C53&lt;=0),"",I53/C53),"")</x:f>
      </x:c>
      <x:c r="M53" s="4" t="str">
        <x:f>IF(A53="","",IF(C53&lt;=0,"No demand",IF(I53&lt;=J53,"Reorder now","Monitor")))</x:f>
      </x:c>
    </x:row>
    <x:row r="54">
      <x:c r="A54" s="7"/>
      <x:c r="B54" s="7"/>
      <x:c r="C54" s="17"/>
      <x:c r="D54" s="17"/>
      <x:c r="E54" s="17"/>
      <x:c r="F54" s="17"/>
      <x:c r="G54" s="17"/>
      <x:c r="H54" s="17"/>
      <x:c r="I54" s="18" t="str">
        <x:f>IF(A54="","",G54+H54)</x:f>
      </x:c>
      <x:c r="J54" s="18" t="str">
        <x:f>IF(A54="","",C54*D54+E54)</x:f>
      </x:c>
      <x:c r="K54" s="18" t="str">
        <x:f>IF(A54="","",IF(C54&lt;=0,0,IF(I54&lt;=J54,MAX(F54,ROUNDUP(C54*(D54+Overview!$B$4)+E54-I54,0)),0)))</x:f>
      </x:c>
      <x:c r="L54" s="19" t="str">
        <x:f>IFERROR(IF(OR(A54="",C54&lt;=0),"",I54/C54),"")</x:f>
      </x:c>
      <x:c r="M54" s="4" t="str">
        <x:f>IF(A54="","",IF(C54&lt;=0,"No demand",IF(I54&lt;=J54,"Reorder now","Monitor")))</x:f>
      </x:c>
    </x:row>
    <x:row r="55">
      <x:c r="A55" s="7"/>
      <x:c r="B55" s="7"/>
      <x:c r="C55" s="17"/>
      <x:c r="D55" s="17"/>
      <x:c r="E55" s="17"/>
      <x:c r="F55" s="17"/>
      <x:c r="G55" s="17"/>
      <x:c r="H55" s="17"/>
      <x:c r="I55" s="18" t="str">
        <x:f>IF(A55="","",G55+H55)</x:f>
      </x:c>
      <x:c r="J55" s="18" t="str">
        <x:f>IF(A55="","",C55*D55+E55)</x:f>
      </x:c>
      <x:c r="K55" s="18" t="str">
        <x:f>IF(A55="","",IF(C55&lt;=0,0,IF(I55&lt;=J55,MAX(F55,ROUNDUP(C55*(D55+Overview!$B$4)+E55-I55,0)),0)))</x:f>
      </x:c>
      <x:c r="L55" s="19" t="str">
        <x:f>IFERROR(IF(OR(A55="",C55&lt;=0),"",I55/C55),"")</x:f>
      </x:c>
      <x:c r="M55" s="4" t="str">
        <x:f>IF(A55="","",IF(C55&lt;=0,"No demand",IF(I55&lt;=J55,"Reorder now","Monitor")))</x:f>
      </x:c>
    </x:row>
    <x:row r="56">
      <x:c r="A56" s="7"/>
      <x:c r="B56" s="7"/>
      <x:c r="C56" s="17"/>
      <x:c r="D56" s="17"/>
      <x:c r="E56" s="17"/>
      <x:c r="F56" s="17"/>
      <x:c r="G56" s="17"/>
      <x:c r="H56" s="17"/>
      <x:c r="I56" s="18" t="str">
        <x:f>IF(A56="","",G56+H56)</x:f>
      </x:c>
      <x:c r="J56" s="18" t="str">
        <x:f>IF(A56="","",C56*D56+E56)</x:f>
      </x:c>
      <x:c r="K56" s="18" t="str">
        <x:f>IF(A56="","",IF(C56&lt;=0,0,IF(I56&lt;=J56,MAX(F56,ROUNDUP(C56*(D56+Overview!$B$4)+E56-I56,0)),0)))</x:f>
      </x:c>
      <x:c r="L56" s="19" t="str">
        <x:f>IFERROR(IF(OR(A56="",C56&lt;=0),"",I56/C56),"")</x:f>
      </x:c>
      <x:c r="M56" s="4" t="str">
        <x:f>IF(A56="","",IF(C56&lt;=0,"No demand",IF(I56&lt;=J56,"Reorder now","Monitor")))</x:f>
      </x:c>
    </x:row>
    <x:row r="57">
      <x:c r="A57" s="7"/>
      <x:c r="B57" s="7"/>
      <x:c r="C57" s="17"/>
      <x:c r="D57" s="17"/>
      <x:c r="E57" s="17"/>
      <x:c r="F57" s="17"/>
      <x:c r="G57" s="17"/>
      <x:c r="H57" s="17"/>
      <x:c r="I57" s="18" t="str">
        <x:f>IF(A57="","",G57+H57)</x:f>
      </x:c>
      <x:c r="J57" s="18" t="str">
        <x:f>IF(A57="","",C57*D57+E57)</x:f>
      </x:c>
      <x:c r="K57" s="18" t="str">
        <x:f>IF(A57="","",IF(C57&lt;=0,0,IF(I57&lt;=J57,MAX(F57,ROUNDUP(C57*(D57+Overview!$B$4)+E57-I57,0)),0)))</x:f>
      </x:c>
      <x:c r="L57" s="19" t="str">
        <x:f>IFERROR(IF(OR(A57="",C57&lt;=0),"",I57/C57),"")</x:f>
      </x:c>
      <x:c r="M57" s="4" t="str">
        <x:f>IF(A57="","",IF(C57&lt;=0,"No demand",IF(I57&lt;=J57,"Reorder now","Monitor")))</x:f>
      </x:c>
    </x:row>
  </x:sheetData>
  <x:mergeCells>
    <x:mergeCell ref="A2:M2"/>
    <x:mergeCell ref="A4:M4"/>
  </x:mergeCells>
  <x:conditionalFormatting sqref="M8:M57">
    <x:cfRule type="containsText" dxfId="0" priority="1" operator="containsText" text="Reorder now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0" hidden="0" customWidth="1"/>
  </x:cols>
  <x:sheetData>
    <x:row r="1">
      <x:c r="A1" s="1"/>
      <x:c r="B1" s="1"/>
    </x:row>
    <x:row r="2">
      <x:c r="A2" s="3" t="str">
        <x:v>How to Use the Reorder Planner</x:v>
      </x:c>
      <x:c r="B2" s="3"/>
    </x:row>
    <x:row r="3">
      <x:c r="A3" s="1"/>
      <x:c r="B3" s="1"/>
    </x:row>
    <x:row r="4" ht="36" customHeight="1">
      <x:c r="A4" s="6" t="str">
        <x:v>1. Replace samples</x:v>
      </x:c>
      <x:c r="B4" s="8" t="str">
        <x:v>Use one row per SKU; sample values are illustrative.</x:v>
      </x:c>
    </x:row>
    <x:row r="5" ht="36" customHeight="1">
      <x:c r="A5" s="6" t="str">
        <x:v>2. Set inputs</x:v>
      </x:c>
      <x:c r="B5" s="8" t="str">
        <x:v>Enter average daily demand, replenishment lead time, safety stock, MOQ, on-hand and open PO units.</x:v>
      </x:c>
    </x:row>
    <x:row r="6" ht="36" customHeight="1">
      <x:c r="A6" s="6" t="str">
        <x:v>3. Set review period</x:v>
      </x:c>
      <x:c r="B6" s="8" t="str">
        <x:v>Choose how many days of demand to cover beyond supplier lead time.</x:v>
      </x:c>
    </x:row>
    <x:row r="7" ht="36" customHeight="1">
      <x:c r="A7" s="6" t="str">
        <x:v>4. Review actions</x:v>
      </x:c>
      <x:c r="B7" s="8" t="str">
        <x:v>Reorder now appears when available stock is at or below the reorder point. Suggested quantity covers lead time plus review period, respects MOQ, and subtracts open POs.</x:v>
      </x:c>
    </x:row>
    <x:row r="8" ht="36" customHeight="1">
      <x:c r="A8" s="6" t="str">
        <x:v>Important</x:v>
      </x:c>
      <x:c r="B8" s="8" t="str">
        <x:v>Demand variability, seasonality, pack multiples, expiry, and supplier constraints need planner review.</x:v>
      </x:c>
    </x:row>
  </x:sheetData>
  <x:mergeCells>
    <x:mergeCell ref="A2:B2"/>
  </x:mergeCells>
  <x:pageMargins left="0.7" right="0.7" top="0.75" bottom="0.75" header="0.3" footer="0.3"/>
</x:worksheet>
</file>